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ads" sheetId="2" state="visible" r:id="rId4"/>
    <sheet name="Lists" sheetId="3" state="visible" r:id="rId5"/>
    <sheet name="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Sample date so the numbers match the portfolio. Replace with =TODAY() for live use.</t>
        </r>
      </text>
    </comment>
  </commentList>
</comments>
</file>

<file path=xl/sharedStrings.xml><?xml version="1.0" encoding="utf-8"?>
<sst xmlns="http://schemas.openxmlformats.org/spreadsheetml/2006/main" count="166" uniqueCount="115">
  <si>
    <t xml:space="preserve">Client and Lead Tracker</t>
  </si>
  <si>
    <t xml:space="preserve">Alder &amp; Finch Co. sales pipeline (fictional sample data)</t>
  </si>
  <si>
    <t xml:space="preserve">Data as of</t>
  </si>
  <si>
    <t xml:space="preserve">Tip: type =TODAY() here for live use</t>
  </si>
  <si>
    <t xml:space="preserve">Key numbers</t>
  </si>
  <si>
    <t xml:space="preserve">Value</t>
  </si>
  <si>
    <t xml:space="preserve">Open pipeline (PHP)</t>
  </si>
  <si>
    <t xml:space="preserve">Active deals</t>
  </si>
  <si>
    <t xml:space="preserve">Won value (PHP)</t>
  </si>
  <si>
    <t xml:space="preserve">Follow-ups due this week</t>
  </si>
  <si>
    <t xml:space="preserve">Overdue follow-ups</t>
  </si>
  <si>
    <t xml:space="preserve">Win rate</t>
  </si>
  <si>
    <t xml:space="preserve">Stage</t>
  </si>
  <si>
    <t xml:space="preserve">Deals</t>
  </si>
  <si>
    <t xml:space="preserve">Value (PHP)</t>
  </si>
  <si>
    <t xml:space="preserve">New</t>
  </si>
  <si>
    <t xml:space="preserve">Contacted</t>
  </si>
  <si>
    <t xml:space="preserve">Proposal</t>
  </si>
  <si>
    <t xml:space="preserve">Negotiation</t>
  </si>
  <si>
    <t xml:space="preserve">Won</t>
  </si>
  <si>
    <t xml:space="preserve">Lost</t>
  </si>
  <si>
    <t xml:space="preserve">Total</t>
  </si>
  <si>
    <t xml:space="preserve">Owner</t>
  </si>
  <si>
    <t xml:space="preserve">Open deals</t>
  </si>
  <si>
    <t xml:space="preserve">Open value (PHP)</t>
  </si>
  <si>
    <t xml:space="preserve">Overdue</t>
  </si>
  <si>
    <t xml:space="preserve">Ivy</t>
  </si>
  <si>
    <t xml:space="preserve">Carlo</t>
  </si>
  <si>
    <t xml:space="preserve">Jen</t>
  </si>
  <si>
    <t xml:space="preserve">Leads</t>
  </si>
  <si>
    <t xml:space="preserve">One row per lead. Blue text = typed-in data. Status and Days columns calculate on their own.</t>
  </si>
  <si>
    <t xml:space="preserve">Lead ID</t>
  </si>
  <si>
    <t xml:space="preserve">Company</t>
  </si>
  <si>
    <t xml:space="preserve">Contact</t>
  </si>
  <si>
    <t xml:space="preserve">Source</t>
  </si>
  <si>
    <t xml:space="preserve">Last contact</t>
  </si>
  <si>
    <t xml:space="preserve">Next step</t>
  </si>
  <si>
    <t xml:space="preserve">Follow-up date</t>
  </si>
  <si>
    <t xml:space="preserve">Status</t>
  </si>
  <si>
    <t xml:space="preserve">Days to follow-up</t>
  </si>
  <si>
    <t xml:space="preserve">L-101</t>
  </si>
  <si>
    <t xml:space="preserve">Kestrel Hardware</t>
  </si>
  <si>
    <t xml:space="preserve">Ramon Lim</t>
  </si>
  <si>
    <t xml:space="preserve">Referral</t>
  </si>
  <si>
    <t xml:space="preserve">Confirm decision date</t>
  </si>
  <si>
    <t xml:space="preserve">L-102</t>
  </si>
  <si>
    <t xml:space="preserve">Brightwell Logistics</t>
  </si>
  <si>
    <t xml:space="preserve">Sam Chua</t>
  </si>
  <si>
    <t xml:space="preserve">LinkedIn</t>
  </si>
  <si>
    <t xml:space="preserve">Send proposal draft</t>
  </si>
  <si>
    <t xml:space="preserve">L-103</t>
  </si>
  <si>
    <t xml:space="preserve">Bayside Packaging</t>
  </si>
  <si>
    <t xml:space="preserve">Leo Santos</t>
  </si>
  <si>
    <t xml:space="preserve">Trade show</t>
  </si>
  <si>
    <t xml:space="preserve">Follow up on proposal</t>
  </si>
  <si>
    <t xml:space="preserve">L-104</t>
  </si>
  <si>
    <t xml:space="preserve">Silverleaf Hotels</t>
  </si>
  <si>
    <t xml:space="preserve">Grace Tan</t>
  </si>
  <si>
    <t xml:space="preserve">Send intro email</t>
  </si>
  <si>
    <t xml:space="preserve">L-105</t>
  </si>
  <si>
    <t xml:space="preserve">Marlowe Foods</t>
  </si>
  <si>
    <t xml:space="preserve">Ana Villanueva</t>
  </si>
  <si>
    <t xml:space="preserve">Send revised pricing</t>
  </si>
  <si>
    <t xml:space="preserve">L-106</t>
  </si>
  <si>
    <t xml:space="preserve">Crestview Schools</t>
  </si>
  <si>
    <t xml:space="preserve">Liza Aquino</t>
  </si>
  <si>
    <t xml:space="preserve">Website</t>
  </si>
  <si>
    <t xml:space="preserve">Qualify budget and timing</t>
  </si>
  <si>
    <t xml:space="preserve">L-107</t>
  </si>
  <si>
    <t xml:space="preserve">Northgate Pharmacy</t>
  </si>
  <si>
    <t xml:space="preserve">Paolo Reyes</t>
  </si>
  <si>
    <t xml:space="preserve">Cold email</t>
  </si>
  <si>
    <t xml:space="preserve">Book discovery call</t>
  </si>
  <si>
    <t xml:space="preserve">L-108</t>
  </si>
  <si>
    <t xml:space="preserve">Pinecrest Clinics</t>
  </si>
  <si>
    <t xml:space="preserve">Joy Mendoza</t>
  </si>
  <si>
    <t xml:space="preserve">Send case study</t>
  </si>
  <si>
    <t xml:space="preserve">L-109</t>
  </si>
  <si>
    <t xml:space="preserve">Oakline Furniture</t>
  </si>
  <si>
    <t xml:space="preserve">Mark Uy</t>
  </si>
  <si>
    <t xml:space="preserve">Legal review of terms</t>
  </si>
  <si>
    <t xml:space="preserve">L-110</t>
  </si>
  <si>
    <t xml:space="preserve">Harlow Retail</t>
  </si>
  <si>
    <t xml:space="preserve">Kim Dela Cruz</t>
  </si>
  <si>
    <t xml:space="preserve">Kickoff call</t>
  </si>
  <si>
    <t xml:space="preserve">L-111</t>
  </si>
  <si>
    <t xml:space="preserve">Tidewater Grocers</t>
  </si>
  <si>
    <t xml:space="preserve">Bea Ramos</t>
  </si>
  <si>
    <t xml:space="preserve">Onboarding checklist</t>
  </si>
  <si>
    <t xml:space="preserve">L-112</t>
  </si>
  <si>
    <t xml:space="preserve">Ember Cafe Group</t>
  </si>
  <si>
    <t xml:space="preserve">Nico Garcia</t>
  </si>
  <si>
    <t xml:space="preserve">Instagram</t>
  </si>
  <si>
    <t xml:space="preserve">Reconnect in Q1</t>
  </si>
  <si>
    <t xml:space="preserve">Dropdown lists</t>
  </si>
  <si>
    <t xml:space="preserve">Edit these lists to change the dropdown options on the Leads sheet.</t>
  </si>
  <si>
    <t xml:space="preserve">How to use this tracker</t>
  </si>
  <si>
    <t xml:space="preserve">Step</t>
  </si>
  <si>
    <t xml:space="preserve">What to do</t>
  </si>
  <si>
    <t xml:space="preserve">1. Add a lead</t>
  </si>
  <si>
    <t xml:space="preserve">Type a new row under the last lead on the Leads sheet. The table grows with it.</t>
  </si>
  <si>
    <t xml:space="preserve">2. Use the dropdowns</t>
  </si>
  <si>
    <t xml:space="preserve">Stage, Owner and Source have dropdowns. Change the options on the Lists sheet.</t>
  </si>
  <si>
    <t xml:space="preserve">3. Always set a next step</t>
  </si>
  <si>
    <t xml:space="preserve">Every open lead needs a next step and a follow-up date.</t>
  </si>
  <si>
    <t xml:space="preserve">4. Read the Status column</t>
  </si>
  <si>
    <t xml:space="preserve">It flags Overdue, Due today and This week automatically from the date on the Dashboard.</t>
  </si>
  <si>
    <t xml:space="preserve">5. Filter and sort</t>
  </si>
  <si>
    <t xml:space="preserve">Use the arrows in the Leads header to filter by owner, stage or status.</t>
  </si>
  <si>
    <t xml:space="preserve">6. Go live</t>
  </si>
  <si>
    <t xml:space="preserve">Replace the date on the Dashboard with =TODAY() so the status updates every day.</t>
  </si>
  <si>
    <t xml:space="preserve">Google Sheets</t>
  </si>
  <si>
    <t xml:space="preserve">Upload this file to Google Drive and open it with Google Sheets. Formulas and dropdowns carry over.</t>
  </si>
  <si>
    <t xml:space="preserve">Note</t>
  </si>
  <si>
    <t xml:space="preserve">All companies, contacts and values are fictional sample data made by Mary Rose Obsuna.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</si>
</sst>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 d&quot;, &quot;yyyy"/>
    <numFmt numFmtId="166" formatCode="#,##0"/>
    <numFmt numFmtId="167" formatCode="0"/>
    <numFmt numFmtId="168" formatCode="0%"/>
    <numFmt numFmtId="169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1F2833"/>
      <name val="Cambria"/>
      <family val="0"/>
      <charset val="1"/>
    </font>
    <font>
      <sz val="10"/>
      <color rgb="FF667181"/>
      <name val="Arial"/>
      <family val="0"/>
      <charset val="1"/>
    </font>
    <font>
      <b val="true"/>
      <sz val="10"/>
      <color rgb="FF66718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7181"/>
      <name val="Arial"/>
      <family val="0"/>
      <charset val="1"/>
    </font>
    <font>
      <b val="true"/>
      <sz val="10"/>
      <color rgb="FF0B6FB3"/>
      <name val="Arial"/>
      <family val="0"/>
      <charset val="1"/>
    </font>
    <font>
      <sz val="10"/>
      <color rgb="FF1F2833"/>
      <name val="Arial"/>
      <family val="0"/>
      <charset val="1"/>
    </font>
    <font>
      <b val="true"/>
      <sz val="12"/>
      <color rgb="FF1F2833"/>
      <name val="Arial"/>
      <family val="0"/>
      <charset val="1"/>
    </font>
    <font>
      <b val="true"/>
      <sz val="10"/>
      <color rgb="FF1F2833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F1FD"/>
        <bgColor rgb="FFE2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ont>
        <name val="Arial"/>
        <charset val="1"/>
        <family val="0"/>
        <b val="1"/>
        <color rgb="FF94465B"/>
        <sz val="12"/>
      </font>
      <fill>
        <patternFill>
          <bgColor rgb="FFFCF2F4"/>
        </patternFill>
      </fill>
    </dxf>
    <dxf>
      <fill>
        <patternFill patternType="solid">
          <fgColor rgb="FFE1F1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B6FB3"/>
          <bgColor rgb="FF000000"/>
        </patternFill>
      </fill>
    </dxf>
    <dxf>
      <fill>
        <patternFill patternType="solid">
          <fgColor rgb="FF1F2833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FF6F2"/>
          <bgColor rgb="FF000000"/>
        </patternFill>
      </fill>
    </dxf>
    <dxf>
      <fill>
        <patternFill patternType="solid">
          <fgColor rgb="FFF2F9FF"/>
          <bgColor rgb="FF000000"/>
        </patternFill>
      </fill>
    </dxf>
    <dxf>
      <fill>
        <patternFill patternType="solid">
          <fgColor rgb="FFF4F3FC"/>
          <bgColor rgb="FF000000"/>
        </patternFill>
      </fill>
    </dxf>
    <dxf>
      <fill>
        <patternFill patternType="solid">
          <fgColor rgb="FFFBF6EC"/>
          <bgColor rgb="FF000000"/>
        </patternFill>
      </fill>
    </dxf>
    <dxf>
      <fill>
        <patternFill patternType="solid">
          <fgColor rgb="FFFCF2F4"/>
          <bgColor rgb="FF000000"/>
        </patternFill>
      </fill>
    </dxf>
    <dxf>
      <fill>
        <patternFill patternType="solid">
          <fgColor rgb="FF3D6A55"/>
          <bgColor rgb="FF000000"/>
        </patternFill>
      </fill>
    </dxf>
    <dxf>
      <fill>
        <patternFill patternType="solid">
          <fgColor rgb="FF57519A"/>
          <bgColor rgb="FF000000"/>
        </patternFill>
      </fill>
    </dxf>
    <dxf>
      <fill>
        <patternFill patternType="solid">
          <fgColor rgb="FF85632A"/>
          <bgColor rgb="FF000000"/>
        </patternFill>
      </fill>
    </dxf>
    <dxf>
      <fill>
        <patternFill patternType="solid">
          <fgColor rgb="FF94465B"/>
          <bgColor rgb="FF000000"/>
        </patternFill>
      </fill>
    </dxf>
    <dxf>
      <fill>
        <patternFill patternType="solid">
          <fgColor rgb="FFF6F8FB"/>
          <bgColor rgb="FF000000"/>
        </patternFill>
      </fill>
    </dxf>
    <dxf>
      <fill>
        <patternFill patternType="solid">
          <fgColor rgb="FF667181"/>
          <bgColor rgb="FF000000"/>
        </patternFill>
      </fill>
    </dxf>
    <dxf>
      <font>
        <name val="Arial"/>
        <charset val="1"/>
        <family val="0"/>
        <b val="1"/>
        <color rgb="FF94465B"/>
        <sz val="10"/>
      </font>
      <fill>
        <patternFill>
          <bgColor rgb="FFFCF2F4"/>
        </patternFill>
      </fill>
    </dxf>
    <dxf>
      <font>
        <name val="Arial"/>
        <charset val="1"/>
        <family val="0"/>
        <b val="1"/>
        <color rgb="FF85632A"/>
        <sz val="10"/>
      </font>
      <fill>
        <patternFill>
          <bgColor rgb="FFFBF6EC"/>
        </patternFill>
      </fill>
    </dxf>
    <dxf>
      <font>
        <name val="Arial"/>
        <charset val="1"/>
        <family val="0"/>
        <b val="1"/>
        <color rgb="FF0B6FB3"/>
        <sz val="10"/>
      </font>
      <fill>
        <patternFill>
          <bgColor rgb="FFF2F9FF"/>
        </patternFill>
      </fill>
    </dxf>
    <dxf>
      <font>
        <name val="Arial"/>
        <charset val="1"/>
        <family val="0"/>
        <b val="1"/>
        <color rgb="FF667181"/>
        <sz val="10"/>
      </font>
      <fill>
        <patternFill>
          <bgColor rgb="FFF6F8FB"/>
        </patternFill>
      </fill>
    </dxf>
    <dxf>
      <font>
        <name val="Arial"/>
        <charset val="1"/>
        <family val="0"/>
        <b val="1"/>
        <color rgb="FF3D6A55"/>
        <sz val="10"/>
      </font>
      <fill>
        <patternFill>
          <bgColor rgb="FFEFF6F2"/>
        </patternFill>
      </fill>
    </dxf>
    <dxf>
      <font>
        <name val="Arial"/>
        <charset val="1"/>
        <family val="0"/>
        <b val="1"/>
        <color rgb="FF57519A"/>
        <sz val="10"/>
      </font>
      <fill>
        <patternFill>
          <bgColor rgb="FFF4F3FC"/>
        </patternFill>
      </fill>
    </dxf>
  </dxfs>
  <colors>
    <indexedColors>
      <rgbColor rgb="FF000000"/>
      <rgbColor rgb="FFF6F8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32A"/>
      <rgbColor rgb="FF800080"/>
      <rgbColor rgb="FF0A78C2"/>
      <rgbColor rgb="FFD2AE6B"/>
      <rgbColor rgb="FF878787"/>
      <rgbColor rgb="FFA19DDB"/>
      <rgbColor rgb="FF94465B"/>
      <rgbColor rgb="FFFBF6EC"/>
      <rgbColor rgb="FFE1F1FD"/>
      <rgbColor rgb="FF660066"/>
      <rgbColor rgb="FFFF8080"/>
      <rgbColor rgb="FF0B6FB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2"/>
      <rgbColor rgb="FFE2E8F0"/>
      <rgbColor rgb="FFFCF2F4"/>
      <rgbColor rgb="FFF2F9FF"/>
      <rgbColor rgb="FFFF99CC"/>
      <rgbColor rgb="FFCC99FF"/>
      <rgbColor rgb="FFF4F3FC"/>
      <rgbColor rgb="FF3366FF"/>
      <rgbColor rgb="FF5BB5EE"/>
      <rgbColor rgb="FF99CC00"/>
      <rgbColor rgb="FFFFCC00"/>
      <rgbColor rgb="FFFF9900"/>
      <rgbColor rgb="FFFF6600"/>
      <rgbColor rgb="FF667181"/>
      <rgbColor rgb="FF86B39B"/>
      <rgbColor rgb="FF003366"/>
      <rgbColor rgb="FF3D6A55"/>
      <rgbColor rgb="FF003300"/>
      <rgbColor rgb="FF333300"/>
      <rgbColor rgb="FF993300"/>
      <rgbColor rgb="FF993366"/>
      <rgbColor rgb="FF57519A"/>
      <rgbColor rgb="FF1F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 value by stage (PHP)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Dashboard!D15</c:f>
              <c:strCache>
                <c:ptCount val="1"/>
                <c:pt idx="0">
                  <c:v>Value (PHP)</c:v>
                </c:pt>
              </c:strCache>
            </c:strRef>
          </c:tx>
          <c:spPr>
            <a:solidFill>
              <a:srgbClr val="5bb5ee"/>
            </a:solidFill>
            <a:ln w="0">
              <a:solidFill>
                <a:srgbClr val="5bb5ee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Dashboard!$B$16:$B$21</c:f>
              <c:strCache>
                <c:ptCount val="6"/>
                <c:pt idx="0">
                  <c:v>New</c:v>
                </c:pt>
                <c:pt idx="1">
                  <c:v>Contacted</c:v>
                </c:pt>
                <c:pt idx="2">
                  <c:v>Proposal</c:v>
                </c:pt>
                <c:pt idx="3">
                  <c:v>Negotiation</c:v>
                </c:pt>
                <c:pt idx="4">
                  <c:v>Won</c:v>
                </c:pt>
                <c:pt idx="5">
                  <c:v>Lost</c:v>
                </c:pt>
              </c:strCache>
            </c:strRef>
          </c:cat>
          <c:val>
            <c:numRef>
              <c:f>Dashboard!$D$16:$D$21</c:f>
              <c:numCache>
                <c:formatCode>#,##0</c:formatCode>
                <c:ptCount val="6"/>
                <c:pt idx="0">
                  <c:v>370000</c:v>
                </c:pt>
                <c:pt idx="1">
                  <c:v>383000</c:v>
                </c:pt>
                <c:pt idx="2">
                  <c:v>325000</c:v>
                </c:pt>
                <c:pt idx="3">
                  <c:v>750000</c:v>
                </c:pt>
                <c:pt idx="4">
                  <c:v>885000</c:v>
                </c:pt>
                <c:pt idx="5">
                  <c:v>60000</c:v>
                </c:pt>
              </c:numCache>
            </c:numRef>
          </c:val>
        </c:ser>
        <c:gapWidth val="60"/>
        <c:overlap val="0"/>
        <c:axId val="85629321"/>
        <c:axId val="82658979"/>
      </c:barChart>
      <c:catAx>
        <c:axId val="856293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58979"/>
        <c:crosses val="autoZero"/>
        <c:auto val="1"/>
        <c:lblAlgn val="ctr"/>
        <c:lblOffset val="100"/>
        <c:noMultiLvlLbl val="0"/>
      </c:catAx>
      <c:valAx>
        <c:axId val="8265897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293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14</xdr:col>
      <xdr:colOff>507600</xdr:colOff>
      <xdr:row>19</xdr:row>
      <xdr:rowOff>126000</xdr:rowOff>
    </xdr:to>
    <xdr:graphicFrame>
      <xdr:nvGraphicFramePr>
        <xdr:cNvPr id="0" name="Chart 1"/>
        <xdr:cNvGraphicFramePr/>
      </xdr:nvGraphicFramePr>
      <xdr:xfrm>
        <a:off x="5686560" y="1143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eads" displayName="Leads" ref="B4:M16" headerRowCount="1" totalsRowCount="0" totalsRowShown="0">
  <autoFilter ref="B4:M16"/>
  <tableColumns count="12">
    <tableColumn id="1" name="Lead ID"/>
    <tableColumn id="2" name="Company"/>
    <tableColumn id="3" name="Contact"/>
    <tableColumn id="4" name="Source"/>
    <tableColumn id="5" name="Stage"/>
    <tableColumn id="6" name="Value (PHP)"/>
    <tableColumn id="7" name="Owner"/>
    <tableColumn id="8" name="Last contact"/>
    <tableColumn id="9" name="Next step"/>
    <tableColumn id="10" name="Follow-up date"/>
    <tableColumn id="11" name="Status"/>
    <tableColumn id="12" name="Days to follow-u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78C2"/>
    <pageSetUpPr fitToPage="false"/>
  </sheetPr>
  <dimension ref="B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2"/>
  </cols>
  <sheetData>
    <row r="1" customFormat="false" ht="30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n">
        <v>46300</v>
      </c>
      <c r="D4" s="5" t="s">
        <v>3</v>
      </c>
    </row>
    <row r="6" customFormat="false" ht="25.5" hidden="false" customHeight="true" outlineLevel="0" collapsed="false">
      <c r="B6" s="6" t="s">
        <v>4</v>
      </c>
      <c r="C6" s="6" t="s">
        <v>5</v>
      </c>
    </row>
    <row r="7" customFormat="false" ht="15" hidden="false" customHeight="false" outlineLevel="0" collapsed="false">
      <c r="B7" s="7" t="s">
        <v>6</v>
      </c>
      <c r="C7" s="8" t="n">
        <f aca="false">SUMIFS(Leads!$G$5:$G$300,Leads!$F$5:$F$300,"&lt;&gt;Won",Leads!$F$5:$F$300,"&lt;&gt;Lost",Leads!$F$5:$F$300,"&lt;&gt;")</f>
        <v>1828000</v>
      </c>
    </row>
    <row r="8" customFormat="false" ht="15" hidden="false" customHeight="false" outlineLevel="0" collapsed="false">
      <c r="B8" s="7" t="s">
        <v>7</v>
      </c>
      <c r="C8" s="9" t="n">
        <f aca="false">COUNTIFS(Leads!$F$5:$F$300,"&lt;&gt;Won",Leads!$F$5:$F$300,"&lt;&gt;Lost",Leads!$F$5:$F$300,"&lt;&gt;")</f>
        <v>9</v>
      </c>
    </row>
    <row r="9" customFormat="false" ht="15" hidden="false" customHeight="false" outlineLevel="0" collapsed="false">
      <c r="B9" s="7" t="s">
        <v>8</v>
      </c>
      <c r="C9" s="8" t="n">
        <f aca="false">SUMIFS(Leads!$G$5:$G$300,Leads!$F$5:$F$300,"Won")</f>
        <v>885000</v>
      </c>
    </row>
    <row r="10" customFormat="false" ht="15" hidden="false" customHeight="false" outlineLevel="0" collapsed="false">
      <c r="B10" s="7" t="s">
        <v>9</v>
      </c>
      <c r="C10" s="9" t="n">
        <f aca="false">COUNTIFS(Leads!$L$5:$L$300,"Overdue")+COUNTIFS(Leads!$L$5:$L$300,"Due today")+COUNTIFS(Leads!$L$5:$L$300,"This week")</f>
        <v>9</v>
      </c>
    </row>
    <row r="11" customFormat="false" ht="15" hidden="false" customHeight="false" outlineLevel="0" collapsed="false">
      <c r="B11" s="7" t="s">
        <v>10</v>
      </c>
      <c r="C11" s="9" t="n">
        <f aca="false">COUNTIFS(Leads!$L$5:$L$300,"Overdue")</f>
        <v>2</v>
      </c>
    </row>
    <row r="12" customFormat="false" ht="15" hidden="false" customHeight="false" outlineLevel="0" collapsed="false">
      <c r="B12" s="7" t="s">
        <v>11</v>
      </c>
      <c r="C12" s="10" t="n">
        <f aca="false">IFERROR(COUNTIFS(Leads!$F$5:$F$300,"Won")/(COUNTIFS(Leads!$F$5:$F$300,"Won")+COUNTIFS(Leads!$F$5:$F$300,"Lost")),0)</f>
        <v>0.666666666666667</v>
      </c>
    </row>
    <row r="15" customFormat="false" ht="25.5" hidden="false" customHeight="true" outlineLevel="0" collapsed="false">
      <c r="B15" s="6" t="s">
        <v>12</v>
      </c>
      <c r="C15" s="6" t="s">
        <v>13</v>
      </c>
      <c r="D15" s="6" t="s">
        <v>14</v>
      </c>
    </row>
    <row r="16" customFormat="false" ht="15" hidden="false" customHeight="false" outlineLevel="0" collapsed="false">
      <c r="B16" s="7" t="s">
        <v>15</v>
      </c>
      <c r="C16" s="11" t="n">
        <f aca="false">COUNTIFS(Leads!$F$5:$F$300,B16)</f>
        <v>2</v>
      </c>
      <c r="D16" s="12" t="n">
        <f aca="false">SUMIFS(Leads!$G$5:$G$300,Leads!$F$5:$F$300,B16)</f>
        <v>370000</v>
      </c>
    </row>
    <row r="17" customFormat="false" ht="15" hidden="false" customHeight="false" outlineLevel="0" collapsed="false">
      <c r="B17" s="7" t="s">
        <v>16</v>
      </c>
      <c r="C17" s="11" t="n">
        <f aca="false">COUNTIFS(Leads!$F$5:$F$300,B17)</f>
        <v>3</v>
      </c>
      <c r="D17" s="12" t="n">
        <f aca="false">SUMIFS(Leads!$G$5:$G$300,Leads!$F$5:$F$300,B17)</f>
        <v>383000</v>
      </c>
    </row>
    <row r="18" customFormat="false" ht="15" hidden="false" customHeight="false" outlineLevel="0" collapsed="false">
      <c r="B18" s="7" t="s">
        <v>17</v>
      </c>
      <c r="C18" s="11" t="n">
        <f aca="false">COUNTIFS(Leads!$F$5:$F$300,B18)</f>
        <v>2</v>
      </c>
      <c r="D18" s="12" t="n">
        <f aca="false">SUMIFS(Leads!$G$5:$G$300,Leads!$F$5:$F$300,B18)</f>
        <v>325000</v>
      </c>
    </row>
    <row r="19" customFormat="false" ht="15" hidden="false" customHeight="false" outlineLevel="0" collapsed="false">
      <c r="B19" s="7" t="s">
        <v>18</v>
      </c>
      <c r="C19" s="11" t="n">
        <f aca="false">COUNTIFS(Leads!$F$5:$F$300,B19)</f>
        <v>2</v>
      </c>
      <c r="D19" s="12" t="n">
        <f aca="false">SUMIFS(Leads!$G$5:$G$300,Leads!$F$5:$F$300,B19)</f>
        <v>750000</v>
      </c>
    </row>
    <row r="20" customFormat="false" ht="15" hidden="false" customHeight="false" outlineLevel="0" collapsed="false">
      <c r="B20" s="7" t="s">
        <v>19</v>
      </c>
      <c r="C20" s="11" t="n">
        <f aca="false">COUNTIFS(Leads!$F$5:$F$300,B20)</f>
        <v>2</v>
      </c>
      <c r="D20" s="12" t="n">
        <f aca="false">SUMIFS(Leads!$G$5:$G$300,Leads!$F$5:$F$300,B20)</f>
        <v>885000</v>
      </c>
    </row>
    <row r="21" customFormat="false" ht="15" hidden="false" customHeight="false" outlineLevel="0" collapsed="false">
      <c r="B21" s="7" t="s">
        <v>20</v>
      </c>
      <c r="C21" s="11" t="n">
        <f aca="false">COUNTIFS(Leads!$F$5:$F$300,B21)</f>
        <v>1</v>
      </c>
      <c r="D21" s="12" t="n">
        <f aca="false">SUMIFS(Leads!$G$5:$G$300,Leads!$F$5:$F$300,B21)</f>
        <v>60000</v>
      </c>
    </row>
    <row r="22" customFormat="false" ht="15" hidden="false" customHeight="false" outlineLevel="0" collapsed="false">
      <c r="B22" s="13" t="s">
        <v>21</v>
      </c>
      <c r="C22" s="14" t="n">
        <f aca="false">SUM(C16:C21)</f>
        <v>12</v>
      </c>
      <c r="D22" s="15" t="n">
        <f aca="false">SUM(D16:D21)</f>
        <v>2773000</v>
      </c>
    </row>
    <row r="25" customFormat="false" ht="25.5" hidden="false" customHeight="true" outlineLevel="0" collapsed="false">
      <c r="B25" s="6" t="s">
        <v>22</v>
      </c>
      <c r="C25" s="6" t="s">
        <v>23</v>
      </c>
      <c r="D25" s="6" t="s">
        <v>24</v>
      </c>
      <c r="E25" s="6" t="s">
        <v>25</v>
      </c>
    </row>
    <row r="26" customFormat="false" ht="15" hidden="false" customHeight="false" outlineLevel="0" collapsed="false">
      <c r="B26" s="7" t="s">
        <v>26</v>
      </c>
      <c r="C26" s="11" t="n">
        <f aca="false">COUNTIFS(Leads!$H$5:$H$300,B26,Leads!$F$5:$F$300,"&lt;&gt;Won",Leads!$F$5:$F$300,"&lt;&gt;Lost",Leads!$F$5:$F$300,"&lt;&gt;")</f>
        <v>3</v>
      </c>
      <c r="D26" s="12" t="n">
        <f aca="false">SUMIFS(Leads!$G$5:$G$300,Leads!$H$5:$H$300,B26,Leads!$F$5:$F$300,"&lt;&gt;Won",Leads!$F$5:$F$300,"&lt;&gt;Lost",Leads!$F$5:$F$300,"&lt;&gt;")</f>
        <v>790000</v>
      </c>
      <c r="E26" s="11" t="n">
        <f aca="false">COUNTIFS(Leads!$H$5:$H$300,B26,Leads!$L$5:$L$300,"Overdue")</f>
        <v>0</v>
      </c>
    </row>
    <row r="27" customFormat="false" ht="15" hidden="false" customHeight="false" outlineLevel="0" collapsed="false">
      <c r="B27" s="7" t="s">
        <v>27</v>
      </c>
      <c r="C27" s="11" t="n">
        <f aca="false">COUNTIFS(Leads!$H$5:$H$300,B27,Leads!$F$5:$F$300,"&lt;&gt;Won",Leads!$F$5:$F$300,"&lt;&gt;Lost",Leads!$F$5:$F$300,"&lt;&gt;")</f>
        <v>4</v>
      </c>
      <c r="D27" s="12" t="n">
        <f aca="false">SUMIFS(Leads!$G$5:$G$300,Leads!$H$5:$H$300,B27,Leads!$F$5:$F$300,"&lt;&gt;Won",Leads!$F$5:$F$300,"&lt;&gt;Lost",Leads!$F$5:$F$300,"&lt;&gt;")</f>
        <v>865000</v>
      </c>
      <c r="E27" s="11" t="n">
        <f aca="false">COUNTIFS(Leads!$H$5:$H$300,B27,Leads!$L$5:$L$300,"Overdue")</f>
        <v>2</v>
      </c>
    </row>
    <row r="28" customFormat="false" ht="15" hidden="false" customHeight="false" outlineLevel="0" collapsed="false">
      <c r="B28" s="7" t="s">
        <v>28</v>
      </c>
      <c r="C28" s="11" t="n">
        <f aca="false">COUNTIFS(Leads!$H$5:$H$300,B28,Leads!$F$5:$F$300,"&lt;&gt;Won",Leads!$F$5:$F$300,"&lt;&gt;Lost",Leads!$F$5:$F$300,"&lt;&gt;")</f>
        <v>2</v>
      </c>
      <c r="D28" s="12" t="n">
        <f aca="false">SUMIFS(Leads!$G$5:$G$300,Leads!$H$5:$H$300,B28,Leads!$F$5:$F$300,"&lt;&gt;Won",Leads!$F$5:$F$300,"&lt;&gt;Lost",Leads!$F$5:$F$300,"&lt;&gt;")</f>
        <v>173000</v>
      </c>
      <c r="E28" s="11" t="n">
        <f aca="false">COUNTIFS(Leads!$H$5:$H$300,B28,Leads!$L$5:$L$300,"Overdue")</f>
        <v>0</v>
      </c>
    </row>
  </sheetData>
  <conditionalFormatting sqref="C11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6B39B"/>
    <pageSetUpPr fitToPage="fals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30" hidden="false" customHeight="true" outlineLevel="0" collapsed="false">
      <c r="B1" s="1" t="s">
        <v>29</v>
      </c>
    </row>
    <row r="2" customFormat="false" ht="15" hidden="false" customHeight="false" outlineLevel="0" collapsed="false">
      <c r="B2" s="2" t="s">
        <v>30</v>
      </c>
    </row>
    <row r="4" customFormat="false" ht="25.5" hidden="false" customHeight="true" outlineLevel="0" collapsed="false">
      <c r="B4" s="6" t="s">
        <v>31</v>
      </c>
      <c r="C4" s="6" t="s">
        <v>32</v>
      </c>
      <c r="D4" s="6" t="s">
        <v>33</v>
      </c>
      <c r="E4" s="6" t="s">
        <v>34</v>
      </c>
      <c r="F4" s="6" t="s">
        <v>12</v>
      </c>
      <c r="G4" s="6" t="s">
        <v>14</v>
      </c>
      <c r="H4" s="6" t="s">
        <v>22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</row>
    <row r="5" customFormat="false" ht="15" hidden="false" customHeight="false" outlineLevel="0" collapsed="false">
      <c r="B5" s="7" t="s">
        <v>40</v>
      </c>
      <c r="C5" s="16" t="s">
        <v>41</v>
      </c>
      <c r="D5" s="16" t="s">
        <v>42</v>
      </c>
      <c r="E5" s="16" t="s">
        <v>43</v>
      </c>
      <c r="F5" s="16" t="s">
        <v>17</v>
      </c>
      <c r="G5" s="17" t="n">
        <v>140000</v>
      </c>
      <c r="H5" s="16" t="s">
        <v>27</v>
      </c>
      <c r="I5" s="4" t="n">
        <v>46289</v>
      </c>
      <c r="J5" s="16" t="s">
        <v>44</v>
      </c>
      <c r="K5" s="4" t="n">
        <v>46297</v>
      </c>
      <c r="L5" s="13" t="str">
        <f aca="false">IF(F5="","",IF(OR(F5="Won",F5="Lost"),"Closed",IF(K5&lt;Dashboard!$C$4,"Overdue",IF(K5=Dashboard!$C$4,"Due today",IF(K5&lt;=Dashboard!$C$4+6,"This week","Upcoming")))))</f>
        <v>Overdue</v>
      </c>
      <c r="M5" s="11" t="n">
        <f aca="false">IF(OR(K5="",L5="Closed"),"",K5-Dashboard!$C$4)</f>
        <v>-3</v>
      </c>
    </row>
    <row r="6" customFormat="false" ht="15" hidden="false" customHeight="false" outlineLevel="0" collapsed="false">
      <c r="B6" s="7" t="s">
        <v>45</v>
      </c>
      <c r="C6" s="16" t="s">
        <v>46</v>
      </c>
      <c r="D6" s="16" t="s">
        <v>47</v>
      </c>
      <c r="E6" s="16" t="s">
        <v>48</v>
      </c>
      <c r="F6" s="16" t="s">
        <v>16</v>
      </c>
      <c r="G6" s="17" t="n">
        <v>210000</v>
      </c>
      <c r="H6" s="16" t="s">
        <v>27</v>
      </c>
      <c r="I6" s="4" t="n">
        <v>46293</v>
      </c>
      <c r="J6" s="16" t="s">
        <v>49</v>
      </c>
      <c r="K6" s="4" t="n">
        <v>46298</v>
      </c>
      <c r="L6" s="13" t="str">
        <f aca="false">IF(F6="","",IF(OR(F6="Won",F6="Lost"),"Closed",IF(K6&lt;Dashboard!$C$4,"Overdue",IF(K6=Dashboard!$C$4,"Due today",IF(K6&lt;=Dashboard!$C$4+6,"This week","Upcoming")))))</f>
        <v>Overdue</v>
      </c>
      <c r="M6" s="11" t="n">
        <f aca="false">IF(OR(K6="",L6="Closed"),"",K6-Dashboard!$C$4)</f>
        <v>-2</v>
      </c>
    </row>
    <row r="7" customFormat="false" ht="15" hidden="false" customHeight="false" outlineLevel="0" collapsed="false">
      <c r="B7" s="7" t="s">
        <v>50</v>
      </c>
      <c r="C7" s="16" t="s">
        <v>51</v>
      </c>
      <c r="D7" s="16" t="s">
        <v>52</v>
      </c>
      <c r="E7" s="16" t="s">
        <v>53</v>
      </c>
      <c r="F7" s="16" t="s">
        <v>17</v>
      </c>
      <c r="G7" s="17" t="n">
        <v>185000</v>
      </c>
      <c r="H7" s="16" t="s">
        <v>27</v>
      </c>
      <c r="I7" s="4" t="n">
        <v>46294</v>
      </c>
      <c r="J7" s="16" t="s">
        <v>54</v>
      </c>
      <c r="K7" s="4" t="n">
        <v>46300</v>
      </c>
      <c r="L7" s="13" t="str">
        <f aca="false">IF(F7="","",IF(OR(F7="Won",F7="Lost"),"Closed",IF(K7&lt;Dashboard!$C$4,"Overdue",IF(K7=Dashboard!$C$4,"Due today",IF(K7&lt;=Dashboard!$C$4+6,"This week","Upcoming")))))</f>
        <v>Due today</v>
      </c>
      <c r="M7" s="11" t="n">
        <f aca="false">IF(OR(K7="",L7="Closed"),"",K7-Dashboard!$C$4)</f>
        <v>0</v>
      </c>
    </row>
    <row r="8" customFormat="false" ht="15" hidden="false" customHeight="false" outlineLevel="0" collapsed="false">
      <c r="B8" s="7" t="s">
        <v>55</v>
      </c>
      <c r="C8" s="16" t="s">
        <v>56</v>
      </c>
      <c r="D8" s="16" t="s">
        <v>57</v>
      </c>
      <c r="E8" s="16" t="s">
        <v>48</v>
      </c>
      <c r="F8" s="16" t="s">
        <v>15</v>
      </c>
      <c r="G8" s="17" t="n">
        <v>250000</v>
      </c>
      <c r="H8" s="16" t="s">
        <v>26</v>
      </c>
      <c r="I8" s="4"/>
      <c r="J8" s="16" t="s">
        <v>58</v>
      </c>
      <c r="K8" s="4" t="n">
        <v>46300</v>
      </c>
      <c r="L8" s="13" t="str">
        <f aca="false">IF(F8="","",IF(OR(F8="Won",F8="Lost"),"Closed",IF(K8&lt;Dashboard!$C$4,"Overdue",IF(K8=Dashboard!$C$4,"Due today",IF(K8&lt;=Dashboard!$C$4+6,"This week","Upcoming")))))</f>
        <v>Due today</v>
      </c>
      <c r="M8" s="11" t="n">
        <f aca="false">IF(OR(K8="",L8="Closed"),"",K8-Dashboard!$C$4)</f>
        <v>0</v>
      </c>
    </row>
    <row r="9" customFormat="false" ht="15" hidden="false" customHeight="false" outlineLevel="0" collapsed="false">
      <c r="B9" s="7" t="s">
        <v>59</v>
      </c>
      <c r="C9" s="16" t="s">
        <v>60</v>
      </c>
      <c r="D9" s="16" t="s">
        <v>61</v>
      </c>
      <c r="E9" s="16" t="s">
        <v>43</v>
      </c>
      <c r="F9" s="16" t="s">
        <v>18</v>
      </c>
      <c r="G9" s="17" t="n">
        <v>420000</v>
      </c>
      <c r="H9" s="16" t="s">
        <v>26</v>
      </c>
      <c r="I9" s="4" t="n">
        <v>46296</v>
      </c>
      <c r="J9" s="16" t="s">
        <v>62</v>
      </c>
      <c r="K9" s="4" t="n">
        <v>46301</v>
      </c>
      <c r="L9" s="13" t="str">
        <f aca="false">IF(F9="","",IF(OR(F9="Won",F9="Lost"),"Closed",IF(K9&lt;Dashboard!$C$4,"Overdue",IF(K9=Dashboard!$C$4,"Due today",IF(K9&lt;=Dashboard!$C$4+6,"This week","Upcoming")))))</f>
        <v>This week</v>
      </c>
      <c r="M9" s="11" t="n">
        <f aca="false">IF(OR(K9="",L9="Closed"),"",K9-Dashboard!$C$4)</f>
        <v>1</v>
      </c>
    </row>
    <row r="10" customFormat="false" ht="15" hidden="false" customHeight="false" outlineLevel="0" collapsed="false">
      <c r="B10" s="7" t="s">
        <v>63</v>
      </c>
      <c r="C10" s="16" t="s">
        <v>64</v>
      </c>
      <c r="D10" s="16" t="s">
        <v>65</v>
      </c>
      <c r="E10" s="16" t="s">
        <v>66</v>
      </c>
      <c r="F10" s="16" t="s">
        <v>15</v>
      </c>
      <c r="G10" s="17" t="n">
        <v>120000</v>
      </c>
      <c r="H10" s="16" t="s">
        <v>26</v>
      </c>
      <c r="I10" s="4"/>
      <c r="J10" s="16" t="s">
        <v>67</v>
      </c>
      <c r="K10" s="4" t="n">
        <v>46301</v>
      </c>
      <c r="L10" s="13" t="str">
        <f aca="false">IF(F10="","",IF(OR(F10="Won",F10="Lost"),"Closed",IF(K10&lt;Dashboard!$C$4,"Overdue",IF(K10=Dashboard!$C$4,"Due today",IF(K10&lt;=Dashboard!$C$4+6,"This week","Upcoming")))))</f>
        <v>This week</v>
      </c>
      <c r="M10" s="11" t="n">
        <f aca="false">IF(OR(K10="",L10="Closed"),"",K10-Dashboard!$C$4)</f>
        <v>1</v>
      </c>
    </row>
    <row r="11" customFormat="false" ht="15" hidden="false" customHeight="false" outlineLevel="0" collapsed="false">
      <c r="B11" s="7" t="s">
        <v>68</v>
      </c>
      <c r="C11" s="16" t="s">
        <v>69</v>
      </c>
      <c r="D11" s="16" t="s">
        <v>70</v>
      </c>
      <c r="E11" s="16" t="s">
        <v>71</v>
      </c>
      <c r="F11" s="16" t="s">
        <v>16</v>
      </c>
      <c r="G11" s="17" t="n">
        <v>95000</v>
      </c>
      <c r="H11" s="16" t="s">
        <v>28</v>
      </c>
      <c r="I11" s="4" t="n">
        <v>46295</v>
      </c>
      <c r="J11" s="16" t="s">
        <v>72</v>
      </c>
      <c r="K11" s="4" t="n">
        <v>46302</v>
      </c>
      <c r="L11" s="13" t="str">
        <f aca="false">IF(F11="","",IF(OR(F11="Won",F11="Lost"),"Closed",IF(K11&lt;Dashboard!$C$4,"Overdue",IF(K11=Dashboard!$C$4,"Due today",IF(K11&lt;=Dashboard!$C$4+6,"This week","Upcoming")))))</f>
        <v>This week</v>
      </c>
      <c r="M11" s="11" t="n">
        <f aca="false">IF(OR(K11="",L11="Closed"),"",K11-Dashboard!$C$4)</f>
        <v>2</v>
      </c>
    </row>
    <row r="12" customFormat="false" ht="15" hidden="false" customHeight="false" outlineLevel="0" collapsed="false">
      <c r="B12" s="7" t="s">
        <v>73</v>
      </c>
      <c r="C12" s="16" t="s">
        <v>74</v>
      </c>
      <c r="D12" s="16" t="s">
        <v>75</v>
      </c>
      <c r="E12" s="16" t="s">
        <v>66</v>
      </c>
      <c r="F12" s="16" t="s">
        <v>16</v>
      </c>
      <c r="G12" s="17" t="n">
        <v>78000</v>
      </c>
      <c r="H12" s="16" t="s">
        <v>28</v>
      </c>
      <c r="I12" s="4" t="n">
        <v>46297</v>
      </c>
      <c r="J12" s="16" t="s">
        <v>76</v>
      </c>
      <c r="K12" s="4" t="n">
        <v>46303</v>
      </c>
      <c r="L12" s="13" t="str">
        <f aca="false">IF(F12="","",IF(OR(F12="Won",F12="Lost"),"Closed",IF(K12&lt;Dashboard!$C$4,"Overdue",IF(K12=Dashboard!$C$4,"Due today",IF(K12&lt;=Dashboard!$C$4+6,"This week","Upcoming")))))</f>
        <v>This week</v>
      </c>
      <c r="M12" s="11" t="n">
        <f aca="false">IF(OR(K12="",L12="Closed"),"",K12-Dashboard!$C$4)</f>
        <v>3</v>
      </c>
    </row>
    <row r="13" customFormat="false" ht="15" hidden="false" customHeight="false" outlineLevel="0" collapsed="false">
      <c r="B13" s="7" t="s">
        <v>77</v>
      </c>
      <c r="C13" s="16" t="s">
        <v>78</v>
      </c>
      <c r="D13" s="16" t="s">
        <v>79</v>
      </c>
      <c r="E13" s="16" t="s">
        <v>53</v>
      </c>
      <c r="F13" s="16" t="s">
        <v>18</v>
      </c>
      <c r="G13" s="17" t="n">
        <v>330000</v>
      </c>
      <c r="H13" s="16" t="s">
        <v>27</v>
      </c>
      <c r="I13" s="4" t="n">
        <v>46296</v>
      </c>
      <c r="J13" s="16" t="s">
        <v>80</v>
      </c>
      <c r="K13" s="4" t="n">
        <v>46304</v>
      </c>
      <c r="L13" s="13" t="str">
        <f aca="false">IF(F13="","",IF(OR(F13="Won",F13="Lost"),"Closed",IF(K13&lt;Dashboard!$C$4,"Overdue",IF(K13=Dashboard!$C$4,"Due today",IF(K13&lt;=Dashboard!$C$4+6,"This week","Upcoming")))))</f>
        <v>This week</v>
      </c>
      <c r="M13" s="11" t="n">
        <f aca="false">IF(OR(K13="",L13="Closed"),"",K13-Dashboard!$C$4)</f>
        <v>4</v>
      </c>
    </row>
    <row r="14" customFormat="false" ht="15" hidden="false" customHeight="false" outlineLevel="0" collapsed="false">
      <c r="B14" s="7" t="s">
        <v>81</v>
      </c>
      <c r="C14" s="16" t="s">
        <v>82</v>
      </c>
      <c r="D14" s="16" t="s">
        <v>83</v>
      </c>
      <c r="E14" s="16" t="s">
        <v>66</v>
      </c>
      <c r="F14" s="16" t="s">
        <v>19</v>
      </c>
      <c r="G14" s="17" t="n">
        <v>610000</v>
      </c>
      <c r="H14" s="16" t="s">
        <v>26</v>
      </c>
      <c r="I14" s="4" t="n">
        <v>46290</v>
      </c>
      <c r="J14" s="16" t="s">
        <v>84</v>
      </c>
      <c r="K14" s="4" t="n">
        <v>46307</v>
      </c>
      <c r="L14" s="13" t="str">
        <f aca="false">IF(F14="","",IF(OR(F14="Won",F14="Lost"),"Closed",IF(K14&lt;Dashboard!$C$4,"Overdue",IF(K14=Dashboard!$C$4,"Due today",IF(K14&lt;=Dashboard!$C$4+6,"This week","Upcoming")))))</f>
        <v>Closed</v>
      </c>
      <c r="M14" s="11" t="str">
        <f aca="false">IF(OR(K14="",L14="Closed"),"",K14-Dashboard!$C$4)</f>
        <v/>
      </c>
    </row>
    <row r="15" customFormat="false" ht="15" hidden="false" customHeight="false" outlineLevel="0" collapsed="false">
      <c r="B15" s="7" t="s">
        <v>85</v>
      </c>
      <c r="C15" s="16" t="s">
        <v>86</v>
      </c>
      <c r="D15" s="16" t="s">
        <v>87</v>
      </c>
      <c r="E15" s="16" t="s">
        <v>43</v>
      </c>
      <c r="F15" s="16" t="s">
        <v>19</v>
      </c>
      <c r="G15" s="17" t="n">
        <v>275000</v>
      </c>
      <c r="H15" s="16" t="s">
        <v>26</v>
      </c>
      <c r="I15" s="4" t="n">
        <v>46283</v>
      </c>
      <c r="J15" s="16" t="s">
        <v>88</v>
      </c>
      <c r="K15" s="4" t="n">
        <v>46310</v>
      </c>
      <c r="L15" s="13" t="str">
        <f aca="false">IF(F15="","",IF(OR(F15="Won",F15="Lost"),"Closed",IF(K15&lt;Dashboard!$C$4,"Overdue",IF(K15=Dashboard!$C$4,"Due today",IF(K15&lt;=Dashboard!$C$4+6,"This week","Upcoming")))))</f>
        <v>Closed</v>
      </c>
      <c r="M15" s="11" t="str">
        <f aca="false">IF(OR(K15="",L15="Closed"),"",K15-Dashboard!$C$4)</f>
        <v/>
      </c>
    </row>
    <row r="16" customFormat="false" ht="15" hidden="false" customHeight="false" outlineLevel="0" collapsed="false">
      <c r="B16" s="7" t="s">
        <v>89</v>
      </c>
      <c r="C16" s="16" t="s">
        <v>90</v>
      </c>
      <c r="D16" s="16" t="s">
        <v>91</v>
      </c>
      <c r="E16" s="16" t="s">
        <v>92</v>
      </c>
      <c r="F16" s="16" t="s">
        <v>20</v>
      </c>
      <c r="G16" s="17" t="n">
        <v>60000</v>
      </c>
      <c r="H16" s="16" t="s">
        <v>28</v>
      </c>
      <c r="I16" s="4" t="n">
        <v>46280</v>
      </c>
      <c r="J16" s="16" t="s">
        <v>93</v>
      </c>
      <c r="K16" s="4" t="n">
        <v>46399</v>
      </c>
      <c r="L16" s="13" t="str">
        <f aca="false">IF(F16="","",IF(OR(F16="Won",F16="Lost"),"Closed",IF(K16&lt;Dashboard!$C$4,"Overdue",IF(K16=Dashboard!$C$4,"Due today",IF(K16&lt;=Dashboard!$C$4+6,"This week","Upcoming")))))</f>
        <v>Closed</v>
      </c>
      <c r="M16" s="11" t="str">
        <f aca="false">IF(OR(K16="",L16="Closed"),"",K16-Dashboard!$C$4)</f>
        <v/>
      </c>
    </row>
  </sheetData>
  <conditionalFormatting sqref="L5:L300">
    <cfRule type="cellIs" priority="2" operator="equal" aboveAverage="0" equalAverage="0" bottom="0" percent="0" rank="0" text="" dxfId="17">
      <formula>"Overdue"</formula>
    </cfRule>
    <cfRule type="cellIs" priority="3" operator="equal" aboveAverage="0" equalAverage="0" bottom="0" percent="0" rank="0" text="" dxfId="18">
      <formula>"Due today"</formula>
    </cfRule>
    <cfRule type="cellIs" priority="4" operator="equal" aboveAverage="0" equalAverage="0" bottom="0" percent="0" rank="0" text="" dxfId="19">
      <formula>"This week"</formula>
    </cfRule>
    <cfRule type="cellIs" priority="5" operator="equal" aboveAverage="0" equalAverage="0" bottom="0" percent="0" rank="0" text="" dxfId="20">
      <formula>"Closed"</formula>
    </cfRule>
  </conditionalFormatting>
  <conditionalFormatting sqref="F5:F300">
    <cfRule type="cellIs" priority="6" operator="equal" aboveAverage="0" equalAverage="0" bottom="0" percent="0" rank="0" text="" dxfId="21">
      <formula>"Won"</formula>
    </cfRule>
    <cfRule type="cellIs" priority="7" operator="equal" aboveAverage="0" equalAverage="0" bottom="0" percent="0" rank="0" text="" dxfId="17">
      <formula>"Lost"</formula>
    </cfRule>
    <cfRule type="cellIs" priority="8" operator="equal" aboveAverage="0" equalAverage="0" bottom="0" percent="0" rank="0" text="" dxfId="18">
      <formula>"Negotiation"</formula>
    </cfRule>
    <cfRule type="cellIs" priority="9" operator="equal" aboveAverage="0" equalAverage="0" bottom="0" percent="0" rank="0" text="" dxfId="19">
      <formula>"Proposal"</formula>
    </cfRule>
    <cfRule type="cellIs" priority="10" operator="equal" aboveAverage="0" equalAverage="0" bottom="0" percent="0" rank="0" text="" dxfId="22">
      <formula>"Contacted"</formula>
    </cfRule>
  </conditionalFormatting>
  <dataValidations count="4">
    <dataValidation allowBlank="true" error="Choose a value from the dropdown, or add it on the Lists sheet." errorStyle="stop" errorTitle="Pick from the list" operator="between" showDropDown="false" showErrorMessage="false" showInputMessage="false" sqref="F5:F300" type="list">
      <formula1>Lists!$B$5:$B$10</formula1>
      <formula2>0</formula2>
    </dataValidation>
    <dataValidation allowBlank="true" error="Choose a value from the dropdown, or add it on the Lists sheet." errorStyle="stop" errorTitle="Pick from the list" operator="between" showDropDown="false" showErrorMessage="false" showInputMessage="false" sqref="H5:H300" type="list">
      <formula1>Lists!$D$5:$D$7</formula1>
      <formula2>0</formula2>
    </dataValidation>
    <dataValidation allowBlank="true" error="Choose a value from the dropdown, or add it on the Lists sheet." errorStyle="stop" errorTitle="Pick from the list" operator="between" showDropDown="false" showErrorMessage="false" showInputMessage="false" sqref="E5:E300" type="list">
      <formula1>Lists!$F$5:$F$10</formula1>
      <formula2>0</formula2>
    </dataValidation>
    <dataValidation allowBlank="true" error="Enter a date, for example 10/12/2026." errorStyle="stop" operator="greaterThan" showDropDown="false" showErrorMessage="false" showInputMessage="false" sqref="I5:I300 K5:K300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AE6B"/>
    <pageSetUpPr fitToPage="false"/>
  </sheetPr>
  <dimension ref="B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4" style="0" width="18"/>
    <col collapsed="false" customWidth="true" hidden="false" outlineLevel="0" max="6" min="6" style="0" width="18"/>
  </cols>
  <sheetData>
    <row r="1" customFormat="false" ht="30" hidden="false" customHeight="true" outlineLevel="0" collapsed="false">
      <c r="B1" s="1" t="s">
        <v>94</v>
      </c>
    </row>
    <row r="2" customFormat="false" ht="15" hidden="false" customHeight="false" outlineLevel="0" collapsed="false">
      <c r="B2" s="2" t="s">
        <v>95</v>
      </c>
    </row>
    <row r="4" customFormat="false" ht="25.5" hidden="false" customHeight="true" outlineLevel="0" collapsed="false">
      <c r="B4" s="6" t="s">
        <v>12</v>
      </c>
      <c r="D4" s="6" t="s">
        <v>22</v>
      </c>
      <c r="F4" s="6" t="s">
        <v>34</v>
      </c>
    </row>
    <row r="5" customFormat="false" ht="15" hidden="false" customHeight="false" outlineLevel="0" collapsed="false">
      <c r="B5" s="7" t="s">
        <v>15</v>
      </c>
      <c r="D5" s="7" t="s">
        <v>26</v>
      </c>
      <c r="F5" s="7" t="s">
        <v>43</v>
      </c>
    </row>
    <row r="6" customFormat="false" ht="15" hidden="false" customHeight="false" outlineLevel="0" collapsed="false">
      <c r="B6" s="7" t="s">
        <v>16</v>
      </c>
      <c r="D6" s="7" t="s">
        <v>27</v>
      </c>
      <c r="F6" s="7" t="s">
        <v>66</v>
      </c>
    </row>
    <row r="7" customFormat="false" ht="15" hidden="false" customHeight="false" outlineLevel="0" collapsed="false">
      <c r="B7" s="7" t="s">
        <v>17</v>
      </c>
      <c r="D7" s="7" t="s">
        <v>28</v>
      </c>
      <c r="F7" s="7" t="s">
        <v>48</v>
      </c>
    </row>
    <row r="8" customFormat="false" ht="15" hidden="false" customHeight="false" outlineLevel="0" collapsed="false">
      <c r="B8" s="7" t="s">
        <v>18</v>
      </c>
      <c r="F8" s="7" t="s">
        <v>53</v>
      </c>
    </row>
    <row r="9" customFormat="false" ht="15" hidden="false" customHeight="false" outlineLevel="0" collapsed="false">
      <c r="B9" s="7" t="s">
        <v>19</v>
      </c>
      <c r="F9" s="7" t="s">
        <v>71</v>
      </c>
    </row>
    <row r="10" customFormat="false" ht="15" hidden="false" customHeight="false" outlineLevel="0" collapsed="false">
      <c r="B10" s="7" t="s">
        <v>20</v>
      </c>
      <c r="F10" s="7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9DDB"/>
    <pageSetUpPr fitToPage="false"/>
  </sheetPr>
  <dimension ref="B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30" hidden="false" customHeight="true" outlineLevel="0" collapsed="false">
      <c r="B1" s="1" t="s">
        <v>96</v>
      </c>
    </row>
    <row r="3" customFormat="false" ht="25.5" hidden="false" customHeight="true" outlineLevel="0" collapsed="false">
      <c r="B3" s="6" t="s">
        <v>97</v>
      </c>
      <c r="C3" s="6" t="s">
        <v>98</v>
      </c>
    </row>
    <row r="4" customFormat="false" ht="30" hidden="false" customHeight="true" outlineLevel="0" collapsed="false">
      <c r="B4" s="13" t="s">
        <v>99</v>
      </c>
      <c r="C4" s="18" t="s">
        <v>100</v>
      </c>
    </row>
    <row r="5" customFormat="false" ht="30" hidden="false" customHeight="true" outlineLevel="0" collapsed="false">
      <c r="B5" s="13" t="s">
        <v>101</v>
      </c>
      <c r="C5" s="18" t="s">
        <v>102</v>
      </c>
    </row>
    <row r="6" customFormat="false" ht="30" hidden="false" customHeight="true" outlineLevel="0" collapsed="false">
      <c r="B6" s="13" t="s">
        <v>103</v>
      </c>
      <c r="C6" s="18" t="s">
        <v>104</v>
      </c>
    </row>
    <row r="7" customFormat="false" ht="30" hidden="false" customHeight="true" outlineLevel="0" collapsed="false">
      <c r="B7" s="13" t="s">
        <v>105</v>
      </c>
      <c r="C7" s="18" t="s">
        <v>106</v>
      </c>
    </row>
    <row r="8" customFormat="false" ht="30" hidden="false" customHeight="true" outlineLevel="0" collapsed="false">
      <c r="B8" s="13" t="s">
        <v>107</v>
      </c>
      <c r="C8" s="18" t="s">
        <v>108</v>
      </c>
    </row>
    <row r="9" customFormat="false" ht="30" hidden="false" customHeight="true" outlineLevel="0" collapsed="false">
      <c r="B9" s="13" t="s">
        <v>109</v>
      </c>
      <c r="C9" s="18" t="s">
        <v>110</v>
      </c>
    </row>
    <row r="10" customFormat="false" ht="30" hidden="false" customHeight="true" outlineLevel="0" collapsed="false">
      <c r="B10" s="13" t="s">
        <v>111</v>
      </c>
      <c r="C10" s="18" t="s">
        <v>112</v>
      </c>
    </row>
    <row r="12" customFormat="false" ht="15" hidden="false" customHeight="false" outlineLevel="0" collapsed="false">
      <c r="B12" s="19" t="s">
        <v>113</v>
      </c>
      <c r="C12" s="2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2026-09-29T00:30:18Z</dcterms:created>
  <dc:creator>openpyxl</dc:creator>
  <dc:description/>
  <dc:language>en-US</dc:language>
  <cp:lastModifiedBy/>
  <dcterms:modified xsi:type="dcterms:W3CDTF">2026-09-29T08:30:19Z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