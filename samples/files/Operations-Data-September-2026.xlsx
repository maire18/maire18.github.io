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nthly" sheetId="2" state="visible" r:id="rId4"/>
    <sheet name="Regions Sep" sheetId="3" state="visible" r:id="rId5"/>
    <sheet name="Tickets Se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<sst xmlns="http://schemas.openxmlformats.org/spreadsheetml/2006/main" count="51" uniqueCount="44">
  <si>
    <t xml:space="preserve">September 2026 Operations Summary</t>
  </si>
  <si>
    <t xml:space="preserve">Alder &amp; Finch Co. (fictional sample). Every number on this sheet is a formula.</t>
  </si>
  <si>
    <t xml:space="preserve">Metric</t>
  </si>
  <si>
    <t xml:space="preserve">September</t>
  </si>
  <si>
    <t xml:space="preserve">August</t>
  </si>
  <si>
    <t xml:space="preserve">Change</t>
  </si>
  <si>
    <t xml:space="preserve">Orders fulfilled</t>
  </si>
  <si>
    <t xml:space="preserve">On-time delivery</t>
  </si>
  <si>
    <t xml:space="preserve">Avg. fulfillment time (days)</t>
  </si>
  <si>
    <t xml:space="preserve">Revenue (PHP)</t>
  </si>
  <si>
    <t xml:space="preserve">Support tickets</t>
  </si>
  <si>
    <t xml:space="preserve">On-time change is in percentage points. A negative change in fulfillment time is an improvement.</t>
  </si>
  <si>
    <t xml:space="preserve">Monthly results, April to September 2026</t>
  </si>
  <si>
    <t xml:space="preserve">Source: Alder &amp; Finch order system export (fictional sample data). Blue text = raw data.</t>
  </si>
  <si>
    <t xml:space="preserve">Month</t>
  </si>
  <si>
    <t xml:space="preserve">Change vs prior</t>
  </si>
  <si>
    <t xml:space="preserve">Avg. fulfillment (days)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</si>
  <si>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</si>
  <si>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</si>
  <si>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</si>
  <si>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</si>
  <si>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</si>
  <si>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</si>
  <si>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September values come from the Regions Sep sheet, so they update when regional data changes.</t>
  </si>
  <si>
    <t xml:space="preserve">Results by region, September 2026</t>
  </si>
  <si>
    <t xml:space="preserve">Blue text = raw data from the order system. Share and totals are formulas.</t>
  </si>
  <si>
    <t xml:space="preserve">Region</t>
  </si>
  <si>
    <t xml:space="preserve">Orders</t>
  </si>
  <si>
    <t xml:space="preserve">Share</t>
  </si>
  <si>
    <t xml:space="preserve">Metro Manila</t>
  </si>
  <si>
    <t xml:space="preserve">Central Luzon</t>
  </si>
  <si>
    <t xml:space="preserve">Visayas</t>
  </si>
  <si>
    <t xml:space="preserve">Mindanao</t>
  </si>
  <si>
    <t xml:space="preserve">Total</t>
  </si>
  <si>
    <t xml:space="preserve">Total on-time delivery is weighted by orders (SUMPRODUCT), not a simple average of the four regions.</t>
  </si>
  <si>
    <t xml:space="preserve">Support tickets by topic, September 2026</t>
  </si>
  <si>
    <t xml:space="preserve">Blue text = ticket counts from the help desk export.</t>
  </si>
  <si>
    <t xml:space="preserve">Topic</t>
  </si>
  <si>
    <t xml:space="preserve">Tickets</t>
  </si>
  <si>
    <t xml:space="preserve">Delivery status</t>
  </si>
  <si>
    <t xml:space="preserve">Returns and exchanges</t>
  </si>
  <si>
    <t xml:space="preserve">Billing</t>
  </si>
  <si>
    <t xml:space="preserve">Product questions</t>
  </si>
  <si>
    <t xml:space="preserve">Answered within 24 hours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</si>
</sst>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+0.0%;\-0.0%"/>
    <numFmt numFmtId="167" formatCode="0.0%"/>
    <numFmt numFmtId="168" formatCode="0.0"/>
    <numFmt numFmtId="169" formatCode="\+0.0;\-0.0"/>
    <numFmt numFmtId="170" formatCode="@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1F2833"/>
      <name val="Cambria"/>
      <family val="0"/>
      <charset val="1"/>
    </font>
    <font>
      <sz val="10"/>
      <color rgb="FF667181"/>
      <name val="Arial"/>
      <family val="0"/>
      <charset val="1"/>
    </font>
    <font>
      <b val="true"/>
      <sz val="10"/>
      <color rgb="FF0B6FB3"/>
      <name val="Arial"/>
      <family val="0"/>
      <charset val="1"/>
    </font>
    <font>
      <sz val="10"/>
      <color rgb="FF1F2833"/>
      <name val="Arial"/>
      <family val="0"/>
      <charset val="1"/>
    </font>
    <font>
      <b val="true"/>
      <sz val="10"/>
      <color rgb="FF1F2833"/>
      <name val="Arial"/>
      <family val="0"/>
      <charset val="1"/>
    </font>
    <font>
      <i val="true"/>
      <sz val="9"/>
      <color rgb="FF66718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1F1FD"/>
        <bgColor rgb="FFE2E8F0"/>
      </patternFill>
    </fill>
    <fill>
      <patternFill patternType="solid">
        <fgColor rgb="FFF2F9FF"/>
        <bgColor rgb="FFE1F1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9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78C2"/>
      <rgbColor rgb="FFD2AE6B"/>
      <rgbColor rgb="FF878787"/>
      <rgbColor rgb="FFA19DDB"/>
      <rgbColor rgb="FF993366"/>
      <rgbColor rgb="FFFFFFCC"/>
      <rgbColor rgb="FFE1F1FD"/>
      <rgbColor rgb="FF660066"/>
      <rgbColor rgb="FFFF8080"/>
      <rgbColor rgb="FF0B6FB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5BB5EE"/>
      <rgbColor rgb="FF99CC00"/>
      <rgbColor rgb="FFFFCC00"/>
      <rgbColor rgb="FFFF9900"/>
      <rgbColor rgb="FFFF6600"/>
      <rgbColor rgb="FF667181"/>
      <rgbColor rgb="FF86B39B"/>
      <rgbColor rgb="FF003366"/>
      <rgbColor rgb="FF339966"/>
      <rgbColor rgb="FF003300"/>
      <rgbColor rgb="FF333300"/>
      <rgbColor rgb="FF993300"/>
      <rgbColor rgb="FF993366"/>
      <rgbColor rgb="FF333399"/>
      <rgbColor rgb="FF1F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fulfilled per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Monthly!C4</c:f>
              <c:strCache>
                <c:ptCount val="1"/>
                <c:pt idx="0">
                  <c:v>Orders fulfilled</c:v>
                </c:pt>
              </c:strCache>
            </c:strRef>
          </c:tx>
          <c:spPr>
            <a:solidFill>
              <a:srgbClr val="5bb5ee"/>
            </a:solidFill>
            <a:ln w="0">
              <a:solidFill>
                <a:srgbClr val="5bb5ee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Monthly!$B$5:$B$10</c:f>
              <c:strCache>
                <c:ptCount val="6"/>
                <c:pt idx="0">
                  <c:v>Apr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</c:strCache>
            </c:strRef>
          </c:cat>
          <c:val>
            <c:numRef>
              <c:f>Monthly!$C$5:$C$10</c:f>
              <c:numCache>
                <c:formatCode>#,##0</c:formatCode>
                <c:ptCount val="6"/>
                <c:pt idx="0">
                  <c:v>4120</c:v>
                </c:pt>
                <c:pt idx="1">
                  <c:v>4305</c:v>
                </c:pt>
                <c:pt idx="2">
                  <c:v>4190</c:v>
                </c:pt>
                <c:pt idx="3">
                  <c:v>4466</c:v>
                </c:pt>
                <c:pt idx="4">
                  <c:v>4523</c:v>
                </c:pt>
                <c:pt idx="5">
                  <c:v>4812</c:v>
                </c:pt>
              </c:numCache>
            </c:numRef>
          </c:val>
        </c:ser>
        <c:gapWidth val="80"/>
        <c:overlap val="0"/>
        <c:axId val="29107954"/>
        <c:axId val="22562667"/>
      </c:barChart>
      <c:catAx>
        <c:axId val="29107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62667"/>
        <c:crosses val="autoZero"/>
        <c:auto val="1"/>
        <c:lblAlgn val="ctr"/>
        <c:lblOffset val="100"/>
        <c:noMultiLvlLbl val="0"/>
      </c:catAx>
      <c:valAx>
        <c:axId val="2256266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07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6</xdr:col>
      <xdr:colOff>120600</xdr:colOff>
      <xdr:row>28</xdr:row>
      <xdr:rowOff>22320</xdr:rowOff>
    </xdr:to>
    <xdr:graphicFrame>
      <xdr:nvGraphicFramePr>
        <xdr:cNvPr id="0" name="Chart 1"/>
        <xdr:cNvGraphicFramePr/>
      </xdr:nvGraphicFramePr>
      <xdr:xfrm>
        <a:off x="211320" y="2800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78C2"/>
    <pageSetUpPr fitToPage="false"/>
  </sheetPr>
  <dimension ref="B1:E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2"/>
  </cols>
  <sheetData>
    <row r="1" customFormat="false" ht="30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5.5" hidden="false" customHeight="true" outlineLevel="0" collapsed="false"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B5" s="4" t="s">
        <v>6</v>
      </c>
      <c r="C5" s="5" t="n">
        <f aca="false">Monthly!C10</f>
        <v>4812</v>
      </c>
      <c r="D5" s="6" t="n">
        <f aca="false">Monthly!C9</f>
        <v>4523</v>
      </c>
      <c r="E5" s="7" t="n">
        <f aca="false">IFERROR(C5/D5-1,0)</f>
        <v>0.0638956444837497</v>
      </c>
    </row>
    <row r="6" customFormat="false" ht="15" hidden="false" customHeight="false" outlineLevel="0" collapsed="false">
      <c r="B6" s="4" t="s">
        <v>7</v>
      </c>
      <c r="C6" s="8" t="n">
        <f aca="false">Monthly!E10</f>
        <v>0.96041604322527</v>
      </c>
      <c r="D6" s="9" t="n">
        <f aca="false">Monthly!E9</f>
        <v>0.949</v>
      </c>
      <c r="E6" s="7" t="n">
        <f aca="false">C6-D6</f>
        <v>0.0114160432252702</v>
      </c>
    </row>
    <row r="7" customFormat="false" ht="15" hidden="false" customHeight="false" outlineLevel="0" collapsed="false">
      <c r="B7" s="4" t="s">
        <v>8</v>
      </c>
      <c r="C7" s="10" t="n">
        <f aca="false">Monthly!F10</f>
        <v>1.8</v>
      </c>
      <c r="D7" s="11" t="n">
        <f aca="false">Monthly!F9</f>
        <v>2.1</v>
      </c>
      <c r="E7" s="12" t="n">
        <f aca="false">C7-D7</f>
        <v>-0.3</v>
      </c>
    </row>
    <row r="8" customFormat="false" ht="15" hidden="false" customHeight="false" outlineLevel="0" collapsed="false">
      <c r="B8" s="4" t="s">
        <v>9</v>
      </c>
      <c r="C8" s="5" t="n">
        <f aca="false">Monthly!G10</f>
        <v>18400000</v>
      </c>
      <c r="D8" s="6" t="n">
        <f aca="false">Monthly!G9</f>
        <v>17540000</v>
      </c>
      <c r="E8" s="7" t="n">
        <f aca="false">IFERROR(C8/D8-1,0)</f>
        <v>0.0490307867730901</v>
      </c>
    </row>
    <row r="9" customFormat="false" ht="15" hidden="false" customHeight="false" outlineLevel="0" collapsed="false">
      <c r="B9" s="4" t="s">
        <v>10</v>
      </c>
      <c r="C9" s="5" t="n">
        <f aca="false">'Tickets Sep'!C9</f>
        <v>1126</v>
      </c>
      <c r="D9" s="6"/>
      <c r="E9" s="13"/>
    </row>
    <row r="11" customFormat="false" ht="15" hidden="false" customHeight="false" outlineLevel="0" collapsed="false">
      <c r="B11" s="1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B39B"/>
    <pageSetUpPr fitToPage="fals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5" min="3" style="0" width="16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30" hidden="false" customHeight="true" outlineLevel="0" collapsed="false">
      <c r="B1" s="1" t="s">
        <v>12</v>
      </c>
    </row>
    <row r="2" customFormat="false" ht="15" hidden="false" customHeight="false" outlineLevel="0" collapsed="false">
      <c r="B2" s="2" t="s">
        <v>13</v>
      </c>
    </row>
    <row r="4" customFormat="false" ht="25.5" hidden="false" customHeight="true" outlineLevel="0" collapsed="false">
      <c r="B4" s="3" t="s">
        <v>14</v>
      </c>
      <c r="C4" s="3" t="s">
        <v>6</v>
      </c>
      <c r="D4" s="3" t="s">
        <v>15</v>
      </c>
      <c r="E4" s="3" t="s">
        <v>7</v>
      </c>
      <c r="F4" s="3" t="s">
        <v>16</v>
      </c>
      <c r="G4" s="3" t="s">
        <v>9</v>
      </c>
    </row>
    <row r="5" customFormat="false" ht="15" hidden="false" customHeight="false" outlineLevel="0" collapsed="false">
      <c r="B5" s="4" t="s">
        <v>17</v>
      </c>
      <c r="C5" s="15" t="n">
        <v>4120</v>
      </c>
      <c r="D5" s="7"/>
      <c r="E5" s="16" t="n">
        <v>0.938</v>
      </c>
      <c r="F5" s="17" t="n">
        <v>2.3</v>
      </c>
      <c r="G5" s="15" t="n">
        <v>15900000</v>
      </c>
    </row>
    <row r="6" customFormat="false" ht="15" hidden="false" customHeight="false" outlineLevel="0" collapsed="false">
      <c r="B6" s="4" t="s">
        <v>18</v>
      </c>
      <c r="C6" s="15" t="n">
        <v>4305</v>
      </c>
      <c r="D6" s="7" t="n">
        <f aca="false">IFERROR(C6/C5-1,"")</f>
        <v>0.0449029126213592</v>
      </c>
      <c r="E6" s="16" t="n">
        <v>0.942</v>
      </c>
      <c r="F6" s="17" t="n">
        <v>2.2</v>
      </c>
      <c r="G6" s="15" t="n">
        <v>16500000</v>
      </c>
    </row>
    <row r="7" customFormat="false" ht="15" hidden="false" customHeight="false" outlineLevel="0" collapsed="false">
      <c r="B7" s="4" t="s">
        <v>19</v>
      </c>
      <c r="C7" s="15" t="n">
        <v>4190</v>
      </c>
      <c r="D7" s="7" t="n">
        <f aca="false">IFERROR(C7/C6-1,"")</f>
        <v>-0.0267131242740999</v>
      </c>
      <c r="E7" s="16" t="n">
        <v>0.94</v>
      </c>
      <c r="F7" s="17" t="n">
        <v>2.2</v>
      </c>
      <c r="G7" s="15" t="n">
        <v>16200000</v>
      </c>
    </row>
    <row r="8" customFormat="false" ht="15" hidden="false" customHeight="false" outlineLevel="0" collapsed="false">
      <c r="B8" s="4" t="s">
        <v>20</v>
      </c>
      <c r="C8" s="15" t="n">
        <v>4466</v>
      </c>
      <c r="D8" s="7" t="n">
        <f aca="false">IFERROR(C8/C7-1,"")</f>
        <v>0.0658711217183772</v>
      </c>
      <c r="E8" s="16" t="n">
        <v>0.946</v>
      </c>
      <c r="F8" s="17" t="n">
        <v>2.1</v>
      </c>
      <c r="G8" s="15" t="n">
        <v>17100000</v>
      </c>
    </row>
    <row r="9" customFormat="false" ht="15" hidden="false" customHeight="false" outlineLevel="0" collapsed="false">
      <c r="B9" s="4" t="s">
        <v>21</v>
      </c>
      <c r="C9" s="15" t="n">
        <v>4523</v>
      </c>
      <c r="D9" s="7" t="n">
        <f aca="false">IFERROR(C9/C8-1,"")</f>
        <v>0.0127630989699956</v>
      </c>
      <c r="E9" s="16" t="n">
        <v>0.949</v>
      </c>
      <c r="F9" s="17" t="n">
        <v>2.1</v>
      </c>
      <c r="G9" s="15" t="n">
        <v>17540000</v>
      </c>
    </row>
    <row r="10" customFormat="false" ht="15" hidden="false" customHeight="false" outlineLevel="0" collapsed="false">
      <c r="B10" s="18" t="s">
        <v>22</v>
      </c>
      <c r="C10" s="19" t="n">
        <f aca="false">'Regions Sep'!C9</f>
        <v>4812</v>
      </c>
      <c r="D10" s="20" t="n">
        <f aca="false">IFERROR(C10/C9-1,"")</f>
        <v>0.0638956444837497</v>
      </c>
      <c r="E10" s="21" t="n">
        <f aca="false">'Regions Sep'!E9</f>
        <v>0.96041604322527</v>
      </c>
      <c r="F10" s="22" t="n">
        <v>1.8</v>
      </c>
      <c r="G10" s="19" t="n">
        <f aca="false">'Regions Sep'!F9</f>
        <v>18400000</v>
      </c>
    </row>
    <row r="12" customFormat="false" ht="15" hidden="false" customHeight="false" outlineLevel="0" collapsed="false">
      <c r="B12" s="1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AE6B"/>
    <pageSetUpPr fitToPage="false"/>
  </sheetPr>
  <dimension ref="B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0" hidden="false" customHeight="true" outlineLevel="0" collapsed="false">
      <c r="B1" s="1" t="s">
        <v>24</v>
      </c>
    </row>
    <row r="2" customFormat="false" ht="15" hidden="false" customHeight="false" outlineLevel="0" collapsed="false">
      <c r="B2" s="2" t="s">
        <v>25</v>
      </c>
    </row>
    <row r="4" customFormat="false" ht="25.5" hidden="false" customHeight="true" outlineLevel="0" collapsed="false">
      <c r="B4" s="3" t="s">
        <v>26</v>
      </c>
      <c r="C4" s="3" t="s">
        <v>27</v>
      </c>
      <c r="D4" s="3" t="s">
        <v>28</v>
      </c>
      <c r="E4" s="3" t="s">
        <v>7</v>
      </c>
      <c r="F4" s="3" t="s">
        <v>9</v>
      </c>
    </row>
    <row r="5" customFormat="false" ht="15" hidden="false" customHeight="false" outlineLevel="0" collapsed="false">
      <c r="B5" s="4" t="s">
        <v>29</v>
      </c>
      <c r="C5" s="15" t="n">
        <v>2146</v>
      </c>
      <c r="D5" s="9" t="n">
        <f aca="false">IFERROR(C5/$C$9,0)</f>
        <v>0.445968412302577</v>
      </c>
      <c r="E5" s="16" t="n">
        <v>0.971</v>
      </c>
      <c r="F5" s="15" t="n">
        <v>8300000</v>
      </c>
    </row>
    <row r="6" customFormat="false" ht="15" hidden="false" customHeight="false" outlineLevel="0" collapsed="false">
      <c r="B6" s="4" t="s">
        <v>30</v>
      </c>
      <c r="C6" s="15" t="n">
        <v>1012</v>
      </c>
      <c r="D6" s="9" t="n">
        <f aca="false">IFERROR(C6/$C$9,0)</f>
        <v>0.210307564422278</v>
      </c>
      <c r="E6" s="16" t="n">
        <v>0.958</v>
      </c>
      <c r="F6" s="15" t="n">
        <v>3900000</v>
      </c>
    </row>
    <row r="7" customFormat="false" ht="15" hidden="false" customHeight="false" outlineLevel="0" collapsed="false">
      <c r="B7" s="4" t="s">
        <v>31</v>
      </c>
      <c r="C7" s="15" t="n">
        <v>894</v>
      </c>
      <c r="D7" s="9" t="n">
        <f aca="false">IFERROR(C7/$C$9,0)</f>
        <v>0.185785536159601</v>
      </c>
      <c r="E7" s="16" t="n">
        <v>0.95</v>
      </c>
      <c r="F7" s="15" t="n">
        <v>3400000</v>
      </c>
    </row>
    <row r="8" customFormat="false" ht="15" hidden="false" customHeight="false" outlineLevel="0" collapsed="false">
      <c r="B8" s="4" t="s">
        <v>32</v>
      </c>
      <c r="C8" s="15" t="n">
        <v>760</v>
      </c>
      <c r="D8" s="9" t="n">
        <f aca="false">IFERROR(C8/$C$9,0)</f>
        <v>0.157938487115544</v>
      </c>
      <c r="E8" s="16" t="n">
        <v>0.946</v>
      </c>
      <c r="F8" s="15" t="n">
        <v>2800000</v>
      </c>
    </row>
    <row r="9" customFormat="false" ht="15" hidden="false" customHeight="false" outlineLevel="0" collapsed="false">
      <c r="B9" s="18" t="s">
        <v>33</v>
      </c>
      <c r="C9" s="19" t="n">
        <f aca="false">SUM(C5:C8)</f>
        <v>4812</v>
      </c>
      <c r="D9" s="21" t="n">
        <f aca="false">SUM(D5:D8)</f>
        <v>1</v>
      </c>
      <c r="E9" s="21" t="n">
        <f aca="false">IFERROR(SUMPRODUCT(C5:C8,E5:E8)/C9,0)</f>
        <v>0.96041604322527</v>
      </c>
      <c r="F9" s="19" t="n">
        <f aca="false">SUM(F5:F8)</f>
        <v>18400000</v>
      </c>
    </row>
    <row r="11" customFormat="false" ht="15" hidden="false" customHeight="false" outlineLevel="0" collapsed="false">
      <c r="B11" s="14" t="s">
        <v>34</v>
      </c>
    </row>
  </sheetData>
  <conditionalFormatting sqref="D5:D8">
    <cfRule type="dataBar" priority="2">
      <dataBar showValue="1" minLength="10" maxLength="90">
        <cfvo type="num" val="0"/>
        <cfvo type="num" val="1"/>
        <color rgb="FF5BB5EE"/>
      </dataBar>
      <extLst>
        <ext xmlns:x14="http://schemas.microsoft.com/office/spreadsheetml/2009/9/main" uri="{B025F937-C7B1-47D3-B67F-A62EFF666E3E}">
          <x14:id>{95E530D0-0087-46C2-8710-35B4B5188A99}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E530D0-0087-46C2-8710-35B4B5188A9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B5EE"/>
              <x14:axisColor rgb="FF000000"/>
            </x14:dataBar>
          </x14:cfRule>
          <xm:sqref>D5:D8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19DDB"/>
    <pageSetUpPr fitToPage="false"/>
  </sheetPr>
  <dimension ref="B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2"/>
  </cols>
  <sheetData>
    <row r="1" customFormat="false" ht="30" hidden="false" customHeight="true" outlineLevel="0" collapsed="false">
      <c r="B1" s="1" t="s">
        <v>35</v>
      </c>
    </row>
    <row r="2" customFormat="false" ht="15" hidden="false" customHeight="false" outlineLevel="0" collapsed="false">
      <c r="B2" s="2" t="s">
        <v>36</v>
      </c>
    </row>
    <row r="4" customFormat="false" ht="25.5" hidden="false" customHeight="true" outlineLevel="0" collapsed="false">
      <c r="B4" s="3" t="s">
        <v>37</v>
      </c>
      <c r="C4" s="3" t="s">
        <v>38</v>
      </c>
      <c r="D4" s="3" t="s">
        <v>28</v>
      </c>
    </row>
    <row r="5" customFormat="false" ht="15" hidden="false" customHeight="false" outlineLevel="0" collapsed="false">
      <c r="B5" s="4" t="s">
        <v>39</v>
      </c>
      <c r="C5" s="15" t="n">
        <v>473</v>
      </c>
      <c r="D5" s="23" t="n">
        <f aca="false">IFERROR(C5/$C$9,0)</f>
        <v>0.420071047957371</v>
      </c>
    </row>
    <row r="6" customFormat="false" ht="15" hidden="false" customHeight="false" outlineLevel="0" collapsed="false">
      <c r="B6" s="4" t="s">
        <v>40</v>
      </c>
      <c r="C6" s="15" t="n">
        <v>259</v>
      </c>
      <c r="D6" s="23" t="n">
        <f aca="false">IFERROR(C6/$C$9,0)</f>
        <v>0.230017761989343</v>
      </c>
    </row>
    <row r="7" customFormat="false" ht="15" hidden="false" customHeight="false" outlineLevel="0" collapsed="false">
      <c r="B7" s="4" t="s">
        <v>41</v>
      </c>
      <c r="C7" s="15" t="n">
        <v>203</v>
      </c>
      <c r="D7" s="23" t="n">
        <f aca="false">IFERROR(C7/$C$9,0)</f>
        <v>0.180284191829485</v>
      </c>
    </row>
    <row r="8" customFormat="false" ht="15" hidden="false" customHeight="false" outlineLevel="0" collapsed="false">
      <c r="B8" s="4" t="s">
        <v>42</v>
      </c>
      <c r="C8" s="15" t="n">
        <v>191</v>
      </c>
      <c r="D8" s="23" t="n">
        <f aca="false">IFERROR(C8/$C$9,0)</f>
        <v>0.169626998223801</v>
      </c>
    </row>
    <row r="9" customFormat="false" ht="15" hidden="false" customHeight="false" outlineLevel="0" collapsed="false">
      <c r="B9" s="24" t="s">
        <v>33</v>
      </c>
      <c r="C9" s="5" t="n">
        <f aca="false">SUM(C5:C8)</f>
        <v>1126</v>
      </c>
      <c r="D9" s="25" t="n">
        <f aca="false">SUM(D5:D8)</f>
        <v>1</v>
      </c>
    </row>
    <row r="11" customFormat="false" ht="15" hidden="false" customHeight="false" outlineLevel="0" collapsed="false">
      <c r="B11" s="26" t="s">
        <v>43</v>
      </c>
      <c r="C11" s="27" t="n">
        <v>0.98</v>
      </c>
    </row>
  </sheetData>
  <conditionalFormatting sqref="D5:D8">
    <cfRule type="dataBar" priority="2">
      <dataBar showValue="1" minLength="10" maxLength="90">
        <cfvo type="num" val="0"/>
        <cfvo type="num" val="1"/>
        <color rgb="FF86B39B"/>
      </dataBar>
      <extLst>
        <ext xmlns:x14="http://schemas.microsoft.com/office/spreadsheetml/2009/9/main" uri="{B025F937-C7B1-47D3-B67F-A62EFF666E3E}">
          <x14:id>{F628ABC6-4B60-48B4-A5CC-64AA4CA8A67E}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28ABC6-4B60-48B4-A5CC-64AA4CA8A67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6B39B"/>
              <x14:axisColor rgb="FF000000"/>
            </x14:dataBar>
          </x14:cfRule>
          <xm:sqref>D5:D8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2026-09-29T00:30:18Z</dcterms:created>
  <dc:creator>openpyxl</dc:creator>
  <dc:description/>
  <dc:language>en-US</dc:language>
  <cp:lastModifiedBy/>
  <dcterms:modified xsi:type="dcterms:W3CDTF">2026-09-29T08:30:21Z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