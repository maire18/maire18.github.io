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p Summary" sheetId="1" state="visible" r:id="rId3"/>
    <sheet name="Itinerary" sheetId="2" state="visible" r:id="rId4"/>
    <sheet name="Bookings" sheetId="3" state="visible" r:id="rId5"/>
    <sheet name="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2" authorId="0">
      <text>
        <r>
          <rPr>
            <sz val="10"/>
            <rFont val="Arial"/>
            <family val="2"/>
          </rPr>
          <t xml:space="preserve">Budget approved by Finance. Change it here and the rest updates.</t>
        </r>
      </text>
    </comment>
  </commentList>
</comments>
</file>

<file path=xl/sharedStrings.xml><?xml version="1.0" encoding="utf-8"?>
<sst xmlns="http://schemas.openxmlformats.org/spreadsheetml/2006/main" count="201" uniqueCount="151">
  <si>
    <t xml:space="preserve">Regional Distributors Summit, Singapore</t>
  </si>
  <si>
    <t xml:space="preserve">Alder &amp; Finch Co. travel plan for the Managing Director (fictional sample)</t>
  </si>
  <si>
    <t xml:space="preserve">Trip details</t>
  </si>
  <si>
    <t xml:space="preserve">Traveler</t>
  </si>
  <si>
    <t xml:space="preserve">Managing Director</t>
  </si>
  <si>
    <t xml:space="preserve">Purpose</t>
  </si>
  <si>
    <t xml:space="preserve">Panel speaker and partner meetings</t>
  </si>
  <si>
    <t xml:space="preserve">Route</t>
  </si>
  <si>
    <t xml:space="preserve">Manila (MNL) to Singapore (SIN) and back</t>
  </si>
  <si>
    <t xml:space="preserve">Dates</t>
  </si>
  <si>
    <t xml:space="preserve">Oct 14 to 17, 2026</t>
  </si>
  <si>
    <t xml:space="preserve">Time zone</t>
  </si>
  <si>
    <t xml:space="preserve">Same as Manila (UTC+8)</t>
  </si>
  <si>
    <t xml:space="preserve">Budget</t>
  </si>
  <si>
    <t xml:space="preserve">PHP</t>
  </si>
  <si>
    <t xml:space="preserve">Approved budget</t>
  </si>
  <si>
    <t xml:space="preserve">Total committed</t>
  </si>
  <si>
    <t xml:space="preserve">Remaining</t>
  </si>
  <si>
    <t xml:space="preserve">Budget used</t>
  </si>
  <si>
    <t xml:space="preserve">Cost by category</t>
  </si>
  <si>
    <t xml:space="preserve">Share</t>
  </si>
  <si>
    <t xml:space="preserve">Flights</t>
  </si>
  <si>
    <t xml:space="preserve">Hotel</t>
  </si>
  <si>
    <t xml:space="preserve">Ground transport</t>
  </si>
  <si>
    <t xml:space="preserve">Event</t>
  </si>
  <si>
    <t xml:space="preserve">Insurance</t>
  </si>
  <si>
    <t xml:space="preserve">Per diem</t>
  </si>
  <si>
    <t xml:space="preserve">Meals</t>
  </si>
  <si>
    <t xml:space="preserve">Booking status</t>
  </si>
  <si>
    <t xml:space="preserve">Items</t>
  </si>
  <si>
    <t xml:space="preserve">Confirmed</t>
  </si>
  <si>
    <t xml:space="preserve">Paid</t>
  </si>
  <si>
    <t xml:space="preserve">Pending</t>
  </si>
  <si>
    <t xml:space="preserve">Cancelled</t>
  </si>
  <si>
    <t xml:space="preserve">Checklist progress</t>
  </si>
  <si>
    <t xml:space="preserve">Tasks done</t>
  </si>
  <si>
    <t xml:space="preserve">Day-by-day itinerary</t>
  </si>
  <si>
    <t xml:space="preserve">Times are local. Manila and Singapore share the same time zone.</t>
  </si>
  <si>
    <t xml:space="preserve">Day</t>
  </si>
  <si>
    <t xml:space="preserve">Date</t>
  </si>
  <si>
    <t xml:space="preserve">Time</t>
  </si>
  <si>
    <t xml:space="preserve">Activity</t>
  </si>
  <si>
    <t xml:space="preserve">Details</t>
  </si>
  <si>
    <t xml:space="preserve">Type</t>
  </si>
  <si>
    <t xml:space="preserve">Day 1</t>
  </si>
  <si>
    <t xml:space="preserve">5:30 AM</t>
  </si>
  <si>
    <t xml:space="preserve">Car pickup from home</t>
  </si>
  <si>
    <t xml:space="preserve">CityLink Cars, driver texts on arrival</t>
  </si>
  <si>
    <t xml:space="preserve">Transport</t>
  </si>
  <si>
    <t xml:space="preserve">8:05 AM</t>
  </si>
  <si>
    <t xml:space="preserve">Flight CA 511, Manila to Singapore</t>
  </si>
  <si>
    <t xml:space="preserve">Seat 3A, lands 11:50 AM</t>
  </si>
  <si>
    <t xml:space="preserve">Flight</t>
  </si>
  <si>
    <t xml:space="preserve">12:30 PM</t>
  </si>
  <si>
    <t xml:space="preserve">Transfer to hotel</t>
  </si>
  <si>
    <t xml:space="preserve">Meet driver at arrival hall, door 5</t>
  </si>
  <si>
    <t xml:space="preserve">3:00 PM</t>
  </si>
  <si>
    <t xml:space="preserve">Check in: The Marlow, Marina Bay</t>
  </si>
  <si>
    <t xml:space="preserve">Early check-in requested</t>
  </si>
  <si>
    <t xml:space="preserve">7:00 PM</t>
  </si>
  <si>
    <t xml:space="preserve">Welcome dinner with regional partners</t>
  </si>
  <si>
    <t xml:space="preserve">Juniper &amp; Salt, table for 6</t>
  </si>
  <si>
    <t xml:space="preserve">Meeting</t>
  </si>
  <si>
    <t xml:space="preserve">Day 2</t>
  </si>
  <si>
    <t xml:space="preserve">8:30 AM</t>
  </si>
  <si>
    <t xml:space="preserve">Registration and badge pickup</t>
  </si>
  <si>
    <t xml:space="preserve">Harbourfront Convention Hall, QR code in email</t>
  </si>
  <si>
    <t xml:space="preserve">9:30 AM</t>
  </si>
  <si>
    <t xml:space="preserve">Opening keynote</t>
  </si>
  <si>
    <t xml:space="preserve">Main hall</t>
  </si>
  <si>
    <t xml:space="preserve">2:00 PM</t>
  </si>
  <si>
    <t xml:space="preserve">Panel: last-mile delivery in island markets</t>
  </si>
  <si>
    <t xml:space="preserve">Speaker check-in 1:30 PM</t>
  </si>
  <si>
    <t xml:space="preserve">Networking reception</t>
  </si>
  <si>
    <t xml:space="preserve">Terrace level, smart casual</t>
  </si>
  <si>
    <t xml:space="preserve">Day 3</t>
  </si>
  <si>
    <t xml:space="preserve">9:00 AM</t>
  </si>
  <si>
    <t xml:space="preserve">Partner meetings, 3 x 45 min</t>
  </si>
  <si>
    <t xml:space="preserve">Meeting Room 4B, briefing notes attached</t>
  </si>
  <si>
    <t xml:space="preserve">1:00 PM</t>
  </si>
  <si>
    <t xml:space="preserve">Lunch with Sunward Distribution</t>
  </si>
  <si>
    <t xml:space="preserve">Hotel restaurant</t>
  </si>
  <si>
    <t xml:space="preserve">3:30 PM</t>
  </si>
  <si>
    <t xml:space="preserve">Open time</t>
  </si>
  <si>
    <t xml:space="preserve">No bookings</t>
  </si>
  <si>
    <t xml:space="preserve">Free</t>
  </si>
  <si>
    <t xml:space="preserve">Day 4</t>
  </si>
  <si>
    <t xml:space="preserve">12:00 PM</t>
  </si>
  <si>
    <t xml:space="preserve">Check out</t>
  </si>
  <si>
    <t xml:space="preserve">Late check-out confirmed</t>
  </si>
  <si>
    <t xml:space="preserve">2:30 PM</t>
  </si>
  <si>
    <t xml:space="preserve">Transfer to airport</t>
  </si>
  <si>
    <t xml:space="preserve">Hotel lobby</t>
  </si>
  <si>
    <t xml:space="preserve">5:40 PM</t>
  </si>
  <si>
    <t xml:space="preserve">Flight CA 518, Singapore to Manila</t>
  </si>
  <si>
    <t xml:space="preserve">Seat 3A, lands 9:25 PM</t>
  </si>
  <si>
    <t xml:space="preserve">10:15 PM</t>
  </si>
  <si>
    <t xml:space="preserve">Car from airport to home</t>
  </si>
  <si>
    <t xml:space="preserve">CityLink Cars</t>
  </si>
  <si>
    <t xml:space="preserve">Booking tracker</t>
  </si>
  <si>
    <t xml:space="preserve">Every booking, confirmation and cost in one place. Blue text = typed-in data.</t>
  </si>
  <si>
    <t xml:space="preserve">Item</t>
  </si>
  <si>
    <t xml:space="preserve">Category</t>
  </si>
  <si>
    <t xml:space="preserve">Provider</t>
  </si>
  <si>
    <t xml:space="preserve">Start</t>
  </si>
  <si>
    <t xml:space="preserve">End</t>
  </si>
  <si>
    <t xml:space="preserve">Confirmation</t>
  </si>
  <si>
    <t xml:space="preserve">Status</t>
  </si>
  <si>
    <t xml:space="preserve">Cost (PHP)</t>
  </si>
  <si>
    <t xml:space="preserve">Notes</t>
  </si>
  <si>
    <t xml:space="preserve">Flight, outbound CA 511</t>
  </si>
  <si>
    <t xml:space="preserve">Coral Air</t>
  </si>
  <si>
    <t xml:space="preserve">CA7Q2M</t>
  </si>
  <si>
    <t xml:space="preserve">Seat 3A, 1 checked bag</t>
  </si>
  <si>
    <t xml:space="preserve">Flight, return CA 518</t>
  </si>
  <si>
    <t xml:space="preserve">Seat 3A</t>
  </si>
  <si>
    <t xml:space="preserve">Hotel, 3 nights</t>
  </si>
  <si>
    <t xml:space="preserve">The Marlow, Marina Bay</t>
  </si>
  <si>
    <t xml:space="preserve">MRL-448192</t>
  </si>
  <si>
    <t xml:space="preserve">Early check-in and late check-out requested</t>
  </si>
  <si>
    <t xml:space="preserve">Airport transfers</t>
  </si>
  <si>
    <t xml:space="preserve">CL-20931</t>
  </si>
  <si>
    <t xml:space="preserve">4 legs: home, airport, hotel</t>
  </si>
  <si>
    <t xml:space="preserve">Summit registration</t>
  </si>
  <si>
    <t xml:space="preserve">Regional Distributors Summit</t>
  </si>
  <si>
    <t xml:space="preserve">RDS-1187</t>
  </si>
  <si>
    <t xml:space="preserve">Speaker pass</t>
  </si>
  <si>
    <t xml:space="preserve">Travel insurance</t>
  </si>
  <si>
    <t xml:space="preserve">Anchor Travel Cover</t>
  </si>
  <si>
    <t xml:space="preserve">ATC-55120</t>
  </si>
  <si>
    <t xml:space="preserve">Policy PDF in travel folder</t>
  </si>
  <si>
    <t xml:space="preserve">Per diem, 3 days</t>
  </si>
  <si>
    <t xml:space="preserve">Finance</t>
  </si>
  <si>
    <t xml:space="preserve">Cash release on Oct 12</t>
  </si>
  <si>
    <t xml:space="preserve">Welcome dinner</t>
  </si>
  <si>
    <t xml:space="preserve">Juniper &amp; Salt</t>
  </si>
  <si>
    <t xml:space="preserve">JS-0714</t>
  </si>
  <si>
    <t xml:space="preserve">Hosted by partner, no cost</t>
  </si>
  <si>
    <t xml:space="preserve">Before you go</t>
  </si>
  <si>
    <t xml:space="preserve">Change Done to Yes as each task is finished. Progress shows on the Trip Summary.</t>
  </si>
  <si>
    <t xml:space="preserve">Task</t>
  </si>
  <si>
    <t xml:space="preserve">Due</t>
  </si>
  <si>
    <t xml:space="preserve">Done</t>
  </si>
  <si>
    <t xml:space="preserve">Passport valid for more than 6 months</t>
  </si>
  <si>
    <t xml:space="preserve">Yes</t>
  </si>
  <si>
    <t xml:space="preserve">Boarding passes saved to phone</t>
  </si>
  <si>
    <t xml:space="preserve">Panel slides sent to the organizer</t>
  </si>
  <si>
    <t xml:space="preserve">Mobile roaming turned on</t>
  </si>
  <si>
    <t xml:space="preserve">SG Arrival Card submitted (opens Oct 11)</t>
  </si>
  <si>
    <t xml:space="preserve">No</t>
  </si>
  <si>
    <t xml:space="preserve">Per diem received from Finance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</si>
</sst>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#,##0;\(#,##0\);\-"/>
    <numFmt numFmtId="168" formatCode="0%"/>
    <numFmt numFmtId="169" formatCode="General"/>
    <numFmt numFmtId="170" formatCode="ddd&quot;, &quot;mmm\ 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1F2833"/>
      <name val="Cambria"/>
      <family val="0"/>
      <charset val="1"/>
    </font>
    <font>
      <sz val="10"/>
      <color rgb="FF667181"/>
      <name val="Arial"/>
      <family val="0"/>
      <charset val="1"/>
    </font>
    <font>
      <b val="true"/>
      <sz val="10"/>
      <color rgb="FF0B6FB3"/>
      <name val="Arial"/>
      <family val="0"/>
      <charset val="1"/>
    </font>
    <font>
      <b val="true"/>
      <sz val="10"/>
      <color rgb="FF1F2833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1F2833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1F1FD"/>
        <bgColor rgb="FFE2E8F0"/>
      </patternFill>
    </fill>
    <fill>
      <patternFill patternType="solid">
        <fgColor rgb="FFF2F9FF"/>
        <bgColor rgb="FFF4F3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medium">
        <color rgb="FFBDE0FA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ont>
        <name val="Arial"/>
        <charset val="1"/>
        <family val="0"/>
        <b val="1"/>
        <color rgb="FF0B6FB3"/>
        <sz val="10"/>
      </font>
      <fill>
        <patternFill>
          <bgColor rgb="FFF2F9FF"/>
        </patternFill>
      </fill>
    </dxf>
    <dxf>
      <font>
        <name val="Arial"/>
        <charset val="1"/>
        <family val="0"/>
        <b val="1"/>
        <color rgb="FF85632A"/>
        <sz val="10"/>
      </font>
      <fill>
        <patternFill>
          <bgColor rgb="FFFBF6EC"/>
        </patternFill>
      </fill>
    </dxf>
    <dxf>
      <font>
        <name val="Arial"/>
        <charset val="1"/>
        <family val="0"/>
        <b val="1"/>
        <color rgb="FF57519A"/>
        <sz val="10"/>
      </font>
      <fill>
        <patternFill>
          <bgColor rgb="FFF4F3FC"/>
        </patternFill>
      </fill>
    </dxf>
    <dxf>
      <font>
        <name val="Arial"/>
        <charset val="1"/>
        <family val="0"/>
        <b val="1"/>
        <color rgb="FF3D6A55"/>
        <sz val="10"/>
      </font>
      <fill>
        <patternFill>
          <bgColor rgb="FFEFF6F2"/>
        </patternFill>
      </fill>
    </dxf>
    <dxf>
      <fill>
        <patternFill patternType="solid">
          <fgColor rgb="FFE1F1F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B6FB3"/>
          <bgColor rgb="FF000000"/>
        </patternFill>
      </fill>
    </dxf>
    <dxf>
      <fill>
        <patternFill patternType="solid">
          <fgColor rgb="FFEFF6F2"/>
          <bgColor rgb="FF000000"/>
        </patternFill>
      </fill>
    </dxf>
    <dxf>
      <fill>
        <patternFill patternType="solid">
          <fgColor rgb="FFF2F9FF"/>
          <bgColor rgb="FF000000"/>
        </patternFill>
      </fill>
    </dxf>
    <dxf>
      <fill>
        <patternFill patternType="solid">
          <fgColor rgb="FFFBF6EC"/>
          <bgColor rgb="FF000000"/>
        </patternFill>
      </fill>
    </dxf>
    <dxf>
      <fill>
        <patternFill patternType="solid">
          <fgColor rgb="FF3D6A55"/>
          <bgColor rgb="FF000000"/>
        </patternFill>
      </fill>
    </dxf>
    <dxf>
      <fill>
        <patternFill patternType="solid">
          <fgColor rgb="FF85632A"/>
          <bgColor rgb="FF000000"/>
        </patternFill>
      </fill>
    </dxf>
    <dxf>
      <font>
        <name val="Arial"/>
        <charset val="1"/>
        <family val="0"/>
        <b val="1"/>
        <color rgb="FF94465B"/>
        <sz val="10"/>
      </font>
      <fill>
        <patternFill>
          <bgColor rgb="FFFCF2F4"/>
        </patternFill>
      </fill>
    </dxf>
  </dxfs>
  <colors>
    <indexedColors>
      <rgbColor rgb="FF000000"/>
      <rgbColor rgb="FFF2F9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32A"/>
      <rgbColor rgb="FF800080"/>
      <rgbColor rgb="FF0A78C2"/>
      <rgbColor rgb="FFD2AE6B"/>
      <rgbColor rgb="FF808080"/>
      <rgbColor rgb="FFA19DDB"/>
      <rgbColor rgb="FF94465B"/>
      <rgbColor rgb="FFFBF6EC"/>
      <rgbColor rgb="FFE1F1FD"/>
      <rgbColor rgb="FF660066"/>
      <rgbColor rgb="FFFF8080"/>
      <rgbColor rgb="FF0B6FB3"/>
      <rgbColor rgb="FFBDE0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2"/>
      <rgbColor rgb="FFE2E8F0"/>
      <rgbColor rgb="FFFCF2F4"/>
      <rgbColor rgb="FF99CCFF"/>
      <rgbColor rgb="FFFF99CC"/>
      <rgbColor rgb="FFCC99FF"/>
      <rgbColor rgb="FFF4F3FC"/>
      <rgbColor rgb="FF3366FF"/>
      <rgbColor rgb="FF33CCCC"/>
      <rgbColor rgb="FF99CC00"/>
      <rgbColor rgb="FFFFCC00"/>
      <rgbColor rgb="FFFF9900"/>
      <rgbColor rgb="FFFF6600"/>
      <rgbColor rgb="FF667181"/>
      <rgbColor rgb="FF86B39B"/>
      <rgbColor rgb="FF003366"/>
      <rgbColor rgb="FF3D6A55"/>
      <rgbColor rgb="FF003300"/>
      <rgbColor rgb="FF333300"/>
      <rgbColor rgb="FF993300"/>
      <rgbColor rgb="FF993366"/>
      <rgbColor rgb="FF57519A"/>
      <rgbColor rgb="FF1F28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ookings" displayName="Bookings" ref="B4:J12" headerRowCount="1" totalsRowCount="0" totalsRowShown="0">
  <autoFilter ref="B4:J12"/>
  <tableColumns count="9">
    <tableColumn id="1" name="Item"/>
    <tableColumn id="2" name="Category"/>
    <tableColumn id="3" name="Provider"/>
    <tableColumn id="4" name="Start"/>
    <tableColumn id="5" name="End"/>
    <tableColumn id="6" name="Confirmation"/>
    <tableColumn id="7" name="Status"/>
    <tableColumn id="8" name="Cost (PHP)"/>
    <tableColumn id="9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78C2"/>
    <pageSetUpPr fitToPage="false"/>
  </sheetPr>
  <dimension ref="B1:D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2"/>
  </cols>
  <sheetData>
    <row r="1" customFormat="false" ht="30" hidden="false" customHeight="tru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25.5" hidden="false" customHeight="true" outlineLevel="0" collapsed="false">
      <c r="B4" s="3" t="s">
        <v>2</v>
      </c>
      <c r="C4" s="3"/>
    </row>
    <row r="5" customFormat="false" ht="15" hidden="false" customHeight="false" outlineLevel="0" collapsed="false">
      <c r="B5" s="4" t="s">
        <v>3</v>
      </c>
      <c r="C5" s="5" t="s">
        <v>4</v>
      </c>
    </row>
    <row r="6" customFormat="false" ht="15" hidden="false" customHeight="false" outlineLevel="0" collapsed="false">
      <c r="B6" s="4" t="s">
        <v>5</v>
      </c>
      <c r="C6" s="5" t="s">
        <v>6</v>
      </c>
    </row>
    <row r="7" customFormat="false" ht="15" hidden="false" customHeight="false" outlineLevel="0" collapsed="false">
      <c r="B7" s="4" t="s">
        <v>7</v>
      </c>
      <c r="C7" s="5" t="s">
        <v>8</v>
      </c>
    </row>
    <row r="8" customFormat="false" ht="15" hidden="false" customHeight="false" outlineLevel="0" collapsed="false">
      <c r="B8" s="4" t="s">
        <v>9</v>
      </c>
      <c r="C8" s="5" t="s">
        <v>10</v>
      </c>
    </row>
    <row r="9" customFormat="false" ht="15" hidden="false" customHeight="false" outlineLevel="0" collapsed="false">
      <c r="B9" s="4" t="s">
        <v>11</v>
      </c>
      <c r="C9" s="5" t="s">
        <v>12</v>
      </c>
    </row>
    <row r="11" customFormat="false" ht="25.5" hidden="false" customHeight="true" outlineLevel="0" collapsed="false">
      <c r="B11" s="3" t="s">
        <v>13</v>
      </c>
      <c r="C11" s="3" t="s">
        <v>14</v>
      </c>
    </row>
    <row r="12" customFormat="false" ht="15" hidden="false" customHeight="false" outlineLevel="0" collapsed="false">
      <c r="B12" s="4" t="s">
        <v>15</v>
      </c>
      <c r="C12" s="6" t="n">
        <v>80000</v>
      </c>
    </row>
    <row r="13" customFormat="false" ht="15" hidden="false" customHeight="false" outlineLevel="0" collapsed="false">
      <c r="B13" s="4" t="s">
        <v>16</v>
      </c>
      <c r="C13" s="7" t="n">
        <f aca="false">Bookings!I13</f>
        <v>72390</v>
      </c>
    </row>
    <row r="14" customFormat="false" ht="15" hidden="false" customHeight="false" outlineLevel="0" collapsed="false">
      <c r="B14" s="4" t="s">
        <v>17</v>
      </c>
      <c r="C14" s="8" t="n">
        <f aca="false">C12-C13</f>
        <v>7610</v>
      </c>
    </row>
    <row r="15" customFormat="false" ht="15" hidden="false" customHeight="false" outlineLevel="0" collapsed="false">
      <c r="B15" s="4" t="s">
        <v>18</v>
      </c>
      <c r="C15" s="9" t="n">
        <f aca="false">IFERROR(C13/C12,0)</f>
        <v>0.904875</v>
      </c>
    </row>
    <row r="18" customFormat="false" ht="25.5" hidden="false" customHeight="true" outlineLevel="0" collapsed="false">
      <c r="B18" s="3" t="s">
        <v>19</v>
      </c>
      <c r="C18" s="3" t="s">
        <v>14</v>
      </c>
      <c r="D18" s="3" t="s">
        <v>20</v>
      </c>
    </row>
    <row r="19" customFormat="false" ht="15" hidden="false" customHeight="false" outlineLevel="0" collapsed="false">
      <c r="B19" s="10" t="s">
        <v>21</v>
      </c>
      <c r="C19" s="11" t="n">
        <f aca="false">SUMIFS(Bookings!$I$5:$I$12,Bookings!$C$5:$C$12,B19)</f>
        <v>18640</v>
      </c>
      <c r="D19" s="12" t="n">
        <f aca="false">IFERROR(C19/$C$13,0)</f>
        <v>0.257494129023346</v>
      </c>
    </row>
    <row r="20" customFormat="false" ht="15" hidden="false" customHeight="false" outlineLevel="0" collapsed="false">
      <c r="B20" s="10" t="s">
        <v>22</v>
      </c>
      <c r="C20" s="11" t="n">
        <f aca="false">SUMIFS(Bookings!$I$5:$I$12,Bookings!$C$5:$C$12,B20)</f>
        <v>27900</v>
      </c>
      <c r="D20" s="12" t="n">
        <f aca="false">IFERROR(C20/$C$13,0)</f>
        <v>0.385412349772068</v>
      </c>
    </row>
    <row r="21" customFormat="false" ht="15" hidden="false" customHeight="false" outlineLevel="0" collapsed="false">
      <c r="B21" s="10" t="s">
        <v>23</v>
      </c>
      <c r="C21" s="11" t="n">
        <f aca="false">SUMIFS(Bookings!$I$5:$I$12,Bookings!$C$5:$C$12,B21)</f>
        <v>3200</v>
      </c>
      <c r="D21" s="12" t="n">
        <f aca="false">IFERROR(C21/$C$13,0)</f>
        <v>0.0442050006907031</v>
      </c>
    </row>
    <row r="22" customFormat="false" ht="15" hidden="false" customHeight="false" outlineLevel="0" collapsed="false">
      <c r="B22" s="10" t="s">
        <v>24</v>
      </c>
      <c r="C22" s="11" t="n">
        <f aca="false">SUMIFS(Bookings!$I$5:$I$12,Bookings!$C$5:$C$12,B22)</f>
        <v>9500</v>
      </c>
      <c r="D22" s="12" t="n">
        <f aca="false">IFERROR(C22/$C$13,0)</f>
        <v>0.131233595800525</v>
      </c>
    </row>
    <row r="23" customFormat="false" ht="15" hidden="false" customHeight="false" outlineLevel="0" collapsed="false">
      <c r="B23" s="10" t="s">
        <v>25</v>
      </c>
      <c r="C23" s="11" t="n">
        <f aca="false">SUMIFS(Bookings!$I$5:$I$12,Bookings!$C$5:$C$12,B23)</f>
        <v>1150</v>
      </c>
      <c r="D23" s="12" t="n">
        <f aca="false">IFERROR(C23/$C$13,0)</f>
        <v>0.0158861721232214</v>
      </c>
    </row>
    <row r="24" customFormat="false" ht="15" hidden="false" customHeight="false" outlineLevel="0" collapsed="false">
      <c r="B24" s="10" t="s">
        <v>26</v>
      </c>
      <c r="C24" s="11" t="n">
        <f aca="false">SUMIFS(Bookings!$I$5:$I$12,Bookings!$C$5:$C$12,B24)</f>
        <v>12000</v>
      </c>
      <c r="D24" s="12" t="n">
        <f aca="false">IFERROR(C24/$C$13,0)</f>
        <v>0.165768752590137</v>
      </c>
    </row>
    <row r="25" customFormat="false" ht="15" hidden="false" customHeight="false" outlineLevel="0" collapsed="false">
      <c r="B25" s="10" t="s">
        <v>27</v>
      </c>
      <c r="C25" s="11" t="n">
        <f aca="false">SUMIFS(Bookings!$I$5:$I$12,Bookings!$C$5:$C$12,B25)</f>
        <v>0</v>
      </c>
      <c r="D25" s="12" t="n">
        <f aca="false">IFERROR(C25/$C$13,0)</f>
        <v>0</v>
      </c>
    </row>
    <row r="28" customFormat="false" ht="25.5" hidden="false" customHeight="true" outlineLevel="0" collapsed="false">
      <c r="B28" s="3" t="s">
        <v>28</v>
      </c>
      <c r="C28" s="3" t="s">
        <v>29</v>
      </c>
    </row>
    <row r="29" customFormat="false" ht="15" hidden="false" customHeight="false" outlineLevel="0" collapsed="false">
      <c r="B29" s="10" t="s">
        <v>30</v>
      </c>
      <c r="C29" s="13" t="n">
        <f aca="false">COUNTIFS(Bookings!$H$5:$H$12,B29)</f>
        <v>5</v>
      </c>
    </row>
    <row r="30" customFormat="false" ht="15" hidden="false" customHeight="false" outlineLevel="0" collapsed="false">
      <c r="B30" s="10" t="s">
        <v>31</v>
      </c>
      <c r="C30" s="13" t="n">
        <f aca="false">COUNTIFS(Bookings!$H$5:$H$12,B30)</f>
        <v>2</v>
      </c>
    </row>
    <row r="31" customFormat="false" ht="15" hidden="false" customHeight="false" outlineLevel="0" collapsed="false">
      <c r="B31" s="10" t="s">
        <v>32</v>
      </c>
      <c r="C31" s="13" t="n">
        <f aca="false">COUNTIFS(Bookings!$H$5:$H$12,B31)</f>
        <v>1</v>
      </c>
    </row>
    <row r="32" customFormat="false" ht="15" hidden="false" customHeight="false" outlineLevel="0" collapsed="false">
      <c r="B32" s="10" t="s">
        <v>33</v>
      </c>
      <c r="C32" s="13" t="n">
        <f aca="false">COUNTIFS(Bookings!$H$5:$H$12,B32)</f>
        <v>0</v>
      </c>
    </row>
    <row r="34" customFormat="false" ht="25.5" hidden="false" customHeight="true" outlineLevel="0" collapsed="false">
      <c r="B34" s="3" t="s">
        <v>34</v>
      </c>
      <c r="C34" s="3"/>
    </row>
    <row r="35" customFormat="false" ht="15" hidden="false" customHeight="false" outlineLevel="0" collapsed="false">
      <c r="B35" s="4" t="s">
        <v>35</v>
      </c>
      <c r="C35" s="14" t="n">
        <f aca="false">IFERROR(COUNTIFS(Checklist!$D$5:$D$20,"Yes")/COUNTA(Checklist!$B$5:$B$20),0)</f>
        <v>0.666666666666667</v>
      </c>
    </row>
  </sheetData>
  <conditionalFormatting sqref="C15">
    <cfRule type="dataBar" priority="2">
      <dataBar showValue="1" minLength="10" maxLength="90">
        <cfvo type="num" val="0"/>
        <cfvo type="num" val="1"/>
        <color rgb="FF5BB5EE"/>
      </dataBar>
      <extLst>
        <ext xmlns:x14="http://schemas.microsoft.com/office/spreadsheetml/2009/9/main" uri="{B025F937-C7B1-47D3-B67F-A62EFF666E3E}">
          <x14:id>{5AB1EC23-5E9F-458F-AC51-1E8E4D82FA36}</x14:id>
        </ext>
      </extLst>
    </cfRule>
  </conditionalFormatting>
  <conditionalFormatting sqref="D19:D25">
    <cfRule type="dataBar" priority="3">
      <dataBar showValue="1" minLength="10" maxLength="90">
        <cfvo type="num" val="0"/>
        <cfvo type="num" val="1"/>
        <color rgb="FF86B39B"/>
      </dataBar>
      <extLst>
        <ext xmlns:x14="http://schemas.microsoft.com/office/spreadsheetml/2009/9/main" uri="{B025F937-C7B1-47D3-B67F-A62EFF666E3E}">
          <x14:id>{B6B14A70-5B19-4A4B-9F71-C36FA39DF450}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B1EC23-5E9F-458F-AC51-1E8E4D82FA3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B5EE"/>
              <x14:axisColor rgb="FF000000"/>
            </x14:dataBar>
          </x14:cfRule>
          <xm:sqref>C15</xm:sqref>
        </x14:conditionalFormatting>
        <x14:conditionalFormatting xmlns:xm="http://schemas.microsoft.com/office/excel/2006/main">
          <x14:cfRule type="dataBar" id="{B6B14A70-5B19-4A4B-9F71-C36FA39DF45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6B39B"/>
              <x14:axisColor rgb="FF000000"/>
            </x14:dataBar>
          </x14:cfRule>
          <xm:sqref>D19:D25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2AE6B"/>
    <pageSetUpPr fitToPage="false"/>
  </sheetPr>
  <dimension ref="B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38"/>
    <col collapsed="false" customWidth="true" hidden="false" outlineLevel="0" max="6" min="6" style="0" width="40"/>
    <col collapsed="false" customWidth="true" hidden="false" outlineLevel="0" max="7" min="7" style="0" width="12"/>
  </cols>
  <sheetData>
    <row r="1" customFormat="false" ht="30" hidden="false" customHeight="true" outlineLevel="0" collapsed="false">
      <c r="B1" s="1" t="s">
        <v>36</v>
      </c>
    </row>
    <row r="2" customFormat="false" ht="15" hidden="false" customHeight="false" outlineLevel="0" collapsed="false">
      <c r="B2" s="2" t="s">
        <v>37</v>
      </c>
    </row>
    <row r="4" customFormat="false" ht="25.5" hidden="false" customHeight="true" outlineLevel="0" collapsed="false"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</row>
    <row r="5" customFormat="false" ht="15" hidden="false" customHeight="false" outlineLevel="0" collapsed="false">
      <c r="B5" s="10" t="s">
        <v>44</v>
      </c>
      <c r="C5" s="15" t="n">
        <v>46309</v>
      </c>
      <c r="D5" s="10" t="s">
        <v>45</v>
      </c>
      <c r="E5" s="16" t="s">
        <v>46</v>
      </c>
      <c r="F5" s="17" t="s">
        <v>47</v>
      </c>
      <c r="G5" s="10" t="s">
        <v>48</v>
      </c>
    </row>
    <row r="6" customFormat="false" ht="15" hidden="false" customHeight="false" outlineLevel="0" collapsed="false">
      <c r="B6" s="10" t="s">
        <v>44</v>
      </c>
      <c r="C6" s="15" t="n">
        <v>46309</v>
      </c>
      <c r="D6" s="10" t="s">
        <v>49</v>
      </c>
      <c r="E6" s="16" t="s">
        <v>50</v>
      </c>
      <c r="F6" s="17" t="s">
        <v>51</v>
      </c>
      <c r="G6" s="10" t="s">
        <v>52</v>
      </c>
    </row>
    <row r="7" customFormat="false" ht="15" hidden="false" customHeight="false" outlineLevel="0" collapsed="false">
      <c r="B7" s="10" t="s">
        <v>44</v>
      </c>
      <c r="C7" s="15" t="n">
        <v>46309</v>
      </c>
      <c r="D7" s="10" t="s">
        <v>53</v>
      </c>
      <c r="E7" s="16" t="s">
        <v>54</v>
      </c>
      <c r="F7" s="17" t="s">
        <v>55</v>
      </c>
      <c r="G7" s="10" t="s">
        <v>48</v>
      </c>
    </row>
    <row r="8" customFormat="false" ht="15" hidden="false" customHeight="false" outlineLevel="0" collapsed="false">
      <c r="B8" s="10" t="s">
        <v>44</v>
      </c>
      <c r="C8" s="15" t="n">
        <v>46309</v>
      </c>
      <c r="D8" s="10" t="s">
        <v>56</v>
      </c>
      <c r="E8" s="16" t="s">
        <v>57</v>
      </c>
      <c r="F8" s="17" t="s">
        <v>58</v>
      </c>
      <c r="G8" s="10" t="s">
        <v>22</v>
      </c>
    </row>
    <row r="9" customFormat="false" ht="15" hidden="false" customHeight="false" outlineLevel="0" collapsed="false">
      <c r="B9" s="10" t="s">
        <v>44</v>
      </c>
      <c r="C9" s="15" t="n">
        <v>46309</v>
      </c>
      <c r="D9" s="10" t="s">
        <v>59</v>
      </c>
      <c r="E9" s="16" t="s">
        <v>60</v>
      </c>
      <c r="F9" s="17" t="s">
        <v>61</v>
      </c>
      <c r="G9" s="10" t="s">
        <v>62</v>
      </c>
    </row>
    <row r="10" customFormat="false" ht="15" hidden="false" customHeight="false" outlineLevel="0" collapsed="false">
      <c r="B10" s="18" t="s">
        <v>63</v>
      </c>
      <c r="C10" s="19" t="n">
        <v>46310</v>
      </c>
      <c r="D10" s="18" t="s">
        <v>64</v>
      </c>
      <c r="E10" s="20" t="s">
        <v>65</v>
      </c>
      <c r="F10" s="21" t="s">
        <v>66</v>
      </c>
      <c r="G10" s="18" t="s">
        <v>24</v>
      </c>
    </row>
    <row r="11" customFormat="false" ht="15" hidden="false" customHeight="false" outlineLevel="0" collapsed="false">
      <c r="B11" s="10" t="s">
        <v>63</v>
      </c>
      <c r="C11" s="15" t="n">
        <v>46310</v>
      </c>
      <c r="D11" s="10" t="s">
        <v>67</v>
      </c>
      <c r="E11" s="16" t="s">
        <v>68</v>
      </c>
      <c r="F11" s="17" t="s">
        <v>69</v>
      </c>
      <c r="G11" s="10" t="s">
        <v>24</v>
      </c>
    </row>
    <row r="12" customFormat="false" ht="15" hidden="false" customHeight="false" outlineLevel="0" collapsed="false">
      <c r="B12" s="10" t="s">
        <v>63</v>
      </c>
      <c r="C12" s="15" t="n">
        <v>46310</v>
      </c>
      <c r="D12" s="10" t="s">
        <v>70</v>
      </c>
      <c r="E12" s="16" t="s">
        <v>71</v>
      </c>
      <c r="F12" s="17" t="s">
        <v>72</v>
      </c>
      <c r="G12" s="10" t="s">
        <v>24</v>
      </c>
    </row>
    <row r="13" customFormat="false" ht="15" hidden="false" customHeight="false" outlineLevel="0" collapsed="false">
      <c r="B13" s="10" t="s">
        <v>63</v>
      </c>
      <c r="C13" s="15" t="n">
        <v>46310</v>
      </c>
      <c r="D13" s="10" t="s">
        <v>59</v>
      </c>
      <c r="E13" s="16" t="s">
        <v>73</v>
      </c>
      <c r="F13" s="17" t="s">
        <v>74</v>
      </c>
      <c r="G13" s="10" t="s">
        <v>24</v>
      </c>
    </row>
    <row r="14" customFormat="false" ht="15" hidden="false" customHeight="false" outlineLevel="0" collapsed="false">
      <c r="B14" s="18" t="s">
        <v>75</v>
      </c>
      <c r="C14" s="19" t="n">
        <v>46311</v>
      </c>
      <c r="D14" s="18" t="s">
        <v>76</v>
      </c>
      <c r="E14" s="20" t="s">
        <v>77</v>
      </c>
      <c r="F14" s="21" t="s">
        <v>78</v>
      </c>
      <c r="G14" s="18" t="s">
        <v>62</v>
      </c>
    </row>
    <row r="15" customFormat="false" ht="15" hidden="false" customHeight="false" outlineLevel="0" collapsed="false">
      <c r="B15" s="10" t="s">
        <v>75</v>
      </c>
      <c r="C15" s="15" t="n">
        <v>46311</v>
      </c>
      <c r="D15" s="10" t="s">
        <v>79</v>
      </c>
      <c r="E15" s="16" t="s">
        <v>80</v>
      </c>
      <c r="F15" s="17" t="s">
        <v>81</v>
      </c>
      <c r="G15" s="10" t="s">
        <v>62</v>
      </c>
    </row>
    <row r="16" customFormat="false" ht="15" hidden="false" customHeight="false" outlineLevel="0" collapsed="false">
      <c r="B16" s="10" t="s">
        <v>75</v>
      </c>
      <c r="C16" s="15" t="n">
        <v>46311</v>
      </c>
      <c r="D16" s="10" t="s">
        <v>82</v>
      </c>
      <c r="E16" s="16" t="s">
        <v>83</v>
      </c>
      <c r="F16" s="17" t="s">
        <v>84</v>
      </c>
      <c r="G16" s="10" t="s">
        <v>85</v>
      </c>
    </row>
    <row r="17" customFormat="false" ht="15" hidden="false" customHeight="false" outlineLevel="0" collapsed="false">
      <c r="B17" s="18" t="s">
        <v>86</v>
      </c>
      <c r="C17" s="19" t="n">
        <v>46312</v>
      </c>
      <c r="D17" s="18" t="s">
        <v>87</v>
      </c>
      <c r="E17" s="20" t="s">
        <v>88</v>
      </c>
      <c r="F17" s="21" t="s">
        <v>89</v>
      </c>
      <c r="G17" s="18" t="s">
        <v>22</v>
      </c>
    </row>
    <row r="18" customFormat="false" ht="15" hidden="false" customHeight="false" outlineLevel="0" collapsed="false">
      <c r="B18" s="10" t="s">
        <v>86</v>
      </c>
      <c r="C18" s="15" t="n">
        <v>46312</v>
      </c>
      <c r="D18" s="10" t="s">
        <v>90</v>
      </c>
      <c r="E18" s="16" t="s">
        <v>91</v>
      </c>
      <c r="F18" s="17" t="s">
        <v>92</v>
      </c>
      <c r="G18" s="10" t="s">
        <v>48</v>
      </c>
    </row>
    <row r="19" customFormat="false" ht="15" hidden="false" customHeight="false" outlineLevel="0" collapsed="false">
      <c r="B19" s="10" t="s">
        <v>86</v>
      </c>
      <c r="C19" s="15" t="n">
        <v>46312</v>
      </c>
      <c r="D19" s="10" t="s">
        <v>93</v>
      </c>
      <c r="E19" s="16" t="s">
        <v>94</v>
      </c>
      <c r="F19" s="17" t="s">
        <v>95</v>
      </c>
      <c r="G19" s="10" t="s">
        <v>52</v>
      </c>
    </row>
    <row r="20" customFormat="false" ht="15" hidden="false" customHeight="false" outlineLevel="0" collapsed="false">
      <c r="B20" s="10" t="s">
        <v>86</v>
      </c>
      <c r="C20" s="15" t="n">
        <v>46312</v>
      </c>
      <c r="D20" s="10" t="s">
        <v>96</v>
      </c>
      <c r="E20" s="16" t="s">
        <v>97</v>
      </c>
      <c r="F20" s="17" t="s">
        <v>98</v>
      </c>
      <c r="G20" s="10" t="s">
        <v>48</v>
      </c>
    </row>
  </sheetData>
  <conditionalFormatting sqref="G5:G20">
    <cfRule type="cellIs" priority="2" operator="equal" aboveAverage="0" equalAverage="0" bottom="0" percent="0" rank="0" text="" dxfId="0">
      <formula>"Flight"</formula>
    </cfRule>
    <cfRule type="cellIs" priority="3" operator="equal" aboveAverage="0" equalAverage="0" bottom="0" percent="0" rank="0" text="" dxfId="1">
      <formula>"Event"</formula>
    </cfRule>
    <cfRule type="cellIs" priority="4" operator="equal" aboveAverage="0" equalAverage="0" bottom="0" percent="0" rank="0" text="" dxfId="2">
      <formula>"Meeting"</formula>
    </cfRule>
    <cfRule type="cellIs" priority="5" operator="equal" aboveAverage="0" equalAverage="0" bottom="0" percent="0" rank="0" text="" dxfId="3">
      <formula>"Hotel"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6B39B"/>
    <pageSetUpPr fitToPage="false"/>
  </sheetPr>
  <dimension ref="B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0" min="10" style="0" width="30"/>
  </cols>
  <sheetData>
    <row r="1" customFormat="false" ht="30" hidden="false" customHeight="true" outlineLevel="0" collapsed="false">
      <c r="B1" s="1" t="s">
        <v>99</v>
      </c>
    </row>
    <row r="2" customFormat="false" ht="15" hidden="false" customHeight="false" outlineLevel="0" collapsed="false">
      <c r="B2" s="2" t="s">
        <v>100</v>
      </c>
    </row>
    <row r="4" customFormat="false" ht="25.5" hidden="false" customHeight="true" outlineLevel="0" collapsed="false">
      <c r="B4" s="3" t="s">
        <v>101</v>
      </c>
      <c r="C4" s="3" t="s">
        <v>102</v>
      </c>
      <c r="D4" s="3" t="s">
        <v>103</v>
      </c>
      <c r="E4" s="3" t="s">
        <v>104</v>
      </c>
      <c r="F4" s="3" t="s">
        <v>105</v>
      </c>
      <c r="G4" s="3" t="s">
        <v>106</v>
      </c>
      <c r="H4" s="3" t="s">
        <v>107</v>
      </c>
      <c r="I4" s="3" t="s">
        <v>108</v>
      </c>
      <c r="J4" s="3" t="s">
        <v>109</v>
      </c>
    </row>
    <row r="5" customFormat="false" ht="15" hidden="false" customHeight="false" outlineLevel="0" collapsed="false">
      <c r="B5" s="22" t="s">
        <v>110</v>
      </c>
      <c r="C5" s="23" t="s">
        <v>21</v>
      </c>
      <c r="D5" s="22" t="s">
        <v>111</v>
      </c>
      <c r="E5" s="24" t="n">
        <v>46309</v>
      </c>
      <c r="F5" s="24" t="n">
        <v>46309</v>
      </c>
      <c r="G5" s="23" t="s">
        <v>112</v>
      </c>
      <c r="H5" s="23" t="s">
        <v>30</v>
      </c>
      <c r="I5" s="25" t="n">
        <v>9320</v>
      </c>
      <c r="J5" s="22" t="s">
        <v>113</v>
      </c>
    </row>
    <row r="6" customFormat="false" ht="15" hidden="false" customHeight="false" outlineLevel="0" collapsed="false">
      <c r="B6" s="22" t="s">
        <v>114</v>
      </c>
      <c r="C6" s="23" t="s">
        <v>21</v>
      </c>
      <c r="D6" s="22" t="s">
        <v>111</v>
      </c>
      <c r="E6" s="24" t="n">
        <v>46312</v>
      </c>
      <c r="F6" s="24" t="n">
        <v>46312</v>
      </c>
      <c r="G6" s="23" t="s">
        <v>112</v>
      </c>
      <c r="H6" s="23" t="s">
        <v>30</v>
      </c>
      <c r="I6" s="25" t="n">
        <v>9320</v>
      </c>
      <c r="J6" s="22" t="s">
        <v>115</v>
      </c>
    </row>
    <row r="7" customFormat="false" ht="23.85" hidden="false" customHeight="false" outlineLevel="0" collapsed="false">
      <c r="B7" s="22" t="s">
        <v>116</v>
      </c>
      <c r="C7" s="23" t="s">
        <v>22</v>
      </c>
      <c r="D7" s="22" t="s">
        <v>117</v>
      </c>
      <c r="E7" s="24" t="n">
        <v>46309</v>
      </c>
      <c r="F7" s="24" t="n">
        <v>46312</v>
      </c>
      <c r="G7" s="23" t="s">
        <v>118</v>
      </c>
      <c r="H7" s="23" t="s">
        <v>30</v>
      </c>
      <c r="I7" s="25" t="n">
        <v>27900</v>
      </c>
      <c r="J7" s="22" t="s">
        <v>119</v>
      </c>
    </row>
    <row r="8" customFormat="false" ht="15" hidden="false" customHeight="false" outlineLevel="0" collapsed="false">
      <c r="B8" s="22" t="s">
        <v>120</v>
      </c>
      <c r="C8" s="23" t="s">
        <v>23</v>
      </c>
      <c r="D8" s="22" t="s">
        <v>98</v>
      </c>
      <c r="E8" s="24" t="n">
        <v>46309</v>
      </c>
      <c r="F8" s="24" t="n">
        <v>46312</v>
      </c>
      <c r="G8" s="23" t="s">
        <v>121</v>
      </c>
      <c r="H8" s="23" t="s">
        <v>30</v>
      </c>
      <c r="I8" s="25" t="n">
        <v>3200</v>
      </c>
      <c r="J8" s="22" t="s">
        <v>122</v>
      </c>
    </row>
    <row r="9" customFormat="false" ht="23.85" hidden="false" customHeight="false" outlineLevel="0" collapsed="false">
      <c r="B9" s="22" t="s">
        <v>123</v>
      </c>
      <c r="C9" s="23" t="s">
        <v>24</v>
      </c>
      <c r="D9" s="22" t="s">
        <v>124</v>
      </c>
      <c r="E9" s="24" t="n">
        <v>46310</v>
      </c>
      <c r="F9" s="24" t="n">
        <v>46311</v>
      </c>
      <c r="G9" s="23" t="s">
        <v>125</v>
      </c>
      <c r="H9" s="23" t="s">
        <v>31</v>
      </c>
      <c r="I9" s="25" t="n">
        <v>9500</v>
      </c>
      <c r="J9" s="22" t="s">
        <v>126</v>
      </c>
    </row>
    <row r="10" customFormat="false" ht="15" hidden="false" customHeight="false" outlineLevel="0" collapsed="false">
      <c r="B10" s="22" t="s">
        <v>127</v>
      </c>
      <c r="C10" s="23" t="s">
        <v>25</v>
      </c>
      <c r="D10" s="22" t="s">
        <v>128</v>
      </c>
      <c r="E10" s="24" t="n">
        <v>46309</v>
      </c>
      <c r="F10" s="24" t="n">
        <v>46312</v>
      </c>
      <c r="G10" s="23" t="s">
        <v>129</v>
      </c>
      <c r="H10" s="23" t="s">
        <v>31</v>
      </c>
      <c r="I10" s="25" t="n">
        <v>1150</v>
      </c>
      <c r="J10" s="22" t="s">
        <v>130</v>
      </c>
    </row>
    <row r="11" customFormat="false" ht="15" hidden="false" customHeight="false" outlineLevel="0" collapsed="false">
      <c r="B11" s="22" t="s">
        <v>131</v>
      </c>
      <c r="C11" s="23" t="s">
        <v>26</v>
      </c>
      <c r="D11" s="22" t="s">
        <v>132</v>
      </c>
      <c r="E11" s="24" t="n">
        <v>46307</v>
      </c>
      <c r="F11" s="24"/>
      <c r="G11" s="23"/>
      <c r="H11" s="23" t="s">
        <v>32</v>
      </c>
      <c r="I11" s="25" t="n">
        <v>12000</v>
      </c>
      <c r="J11" s="22" t="s">
        <v>133</v>
      </c>
    </row>
    <row r="12" customFormat="false" ht="15" hidden="false" customHeight="false" outlineLevel="0" collapsed="false">
      <c r="B12" s="22" t="s">
        <v>134</v>
      </c>
      <c r="C12" s="23" t="s">
        <v>27</v>
      </c>
      <c r="D12" s="22" t="s">
        <v>135</v>
      </c>
      <c r="E12" s="24" t="n">
        <v>46309</v>
      </c>
      <c r="F12" s="24" t="n">
        <v>46309</v>
      </c>
      <c r="G12" s="23" t="s">
        <v>136</v>
      </c>
      <c r="H12" s="23" t="s">
        <v>30</v>
      </c>
      <c r="I12" s="25" t="n">
        <v>0</v>
      </c>
      <c r="J12" s="22" t="s">
        <v>137</v>
      </c>
    </row>
    <row r="13" customFormat="false" ht="15" hidden="false" customHeight="false" outlineLevel="0" collapsed="false">
      <c r="B13" s="26" t="s">
        <v>16</v>
      </c>
      <c r="C13" s="27"/>
      <c r="D13" s="27"/>
      <c r="E13" s="27"/>
      <c r="F13" s="27"/>
      <c r="G13" s="27"/>
      <c r="H13" s="27"/>
      <c r="I13" s="28" t="n">
        <f aca="false">SUM(I5:I12)</f>
        <v>72390</v>
      </c>
      <c r="J13" s="27"/>
    </row>
  </sheetData>
  <conditionalFormatting sqref="H5:H12">
    <cfRule type="cellIs" priority="2" operator="equal" aboveAverage="0" equalAverage="0" bottom="0" percent="0" rank="0" text="" dxfId="3">
      <formula>"Confirmed"</formula>
    </cfRule>
    <cfRule type="cellIs" priority="3" operator="equal" aboveAverage="0" equalAverage="0" bottom="0" percent="0" rank="0" text="" dxfId="0">
      <formula>"Paid"</formula>
    </cfRule>
    <cfRule type="cellIs" priority="4" operator="equal" aboveAverage="0" equalAverage="0" bottom="0" percent="0" rank="0" text="" dxfId="1">
      <formula>"Pending"</formula>
    </cfRule>
    <cfRule type="cellIs" priority="5" operator="equal" aboveAverage="0" equalAverage="0" bottom="0" percent="0" rank="0" text="" dxfId="13">
      <formula>"Cancelled"</formula>
    </cfRule>
  </conditionalFormatting>
  <dataValidations count="2">
    <dataValidation allowBlank="true" errorStyle="stop" operator="between" showDropDown="false" showErrorMessage="false" showInputMessage="false" sqref="H5:H12" type="list">
      <formula1>"Confirmed,Paid,Pending,Cancelled"</formula1>
      <formula2>0</formula2>
    </dataValidation>
    <dataValidation allowBlank="true" errorStyle="stop" operator="between" showDropDown="false" showErrorMessage="false" showInputMessage="false" sqref="C5:C12" type="list">
      <formula1>"Flights,Hotel,Ground transport,Event,Insurance,Per diem,Meals,Other"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19DDB"/>
    <pageSetUpPr fitToPage="false"/>
  </sheetPr>
  <dimension ref="B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10"/>
  </cols>
  <sheetData>
    <row r="1" customFormat="false" ht="30" hidden="false" customHeight="true" outlineLevel="0" collapsed="false">
      <c r="B1" s="1" t="s">
        <v>138</v>
      </c>
    </row>
    <row r="2" customFormat="false" ht="15" hidden="false" customHeight="false" outlineLevel="0" collapsed="false">
      <c r="B2" s="2" t="s">
        <v>139</v>
      </c>
    </row>
    <row r="4" customFormat="false" ht="25.5" hidden="false" customHeight="true" outlineLevel="0" collapsed="false">
      <c r="B4" s="3" t="s">
        <v>140</v>
      </c>
      <c r="C4" s="3" t="s">
        <v>141</v>
      </c>
      <c r="D4" s="3" t="s">
        <v>142</v>
      </c>
    </row>
    <row r="5" customFormat="false" ht="15" hidden="false" customHeight="false" outlineLevel="0" collapsed="false">
      <c r="B5" s="10" t="s">
        <v>143</v>
      </c>
      <c r="C5" s="15" t="n">
        <v>46296</v>
      </c>
      <c r="D5" s="29" t="s">
        <v>144</v>
      </c>
    </row>
    <row r="6" customFormat="false" ht="15" hidden="false" customHeight="false" outlineLevel="0" collapsed="false">
      <c r="B6" s="10" t="s">
        <v>145</v>
      </c>
      <c r="C6" s="15" t="n">
        <v>46308</v>
      </c>
      <c r="D6" s="29" t="s">
        <v>144</v>
      </c>
    </row>
    <row r="7" customFormat="false" ht="15" hidden="false" customHeight="false" outlineLevel="0" collapsed="false">
      <c r="B7" s="10" t="s">
        <v>146</v>
      </c>
      <c r="C7" s="15" t="n">
        <v>46304</v>
      </c>
      <c r="D7" s="29" t="s">
        <v>144</v>
      </c>
    </row>
    <row r="8" customFormat="false" ht="15" hidden="false" customHeight="false" outlineLevel="0" collapsed="false">
      <c r="B8" s="10" t="s">
        <v>147</v>
      </c>
      <c r="C8" s="15" t="n">
        <v>46308</v>
      </c>
      <c r="D8" s="29" t="s">
        <v>144</v>
      </c>
    </row>
    <row r="9" customFormat="false" ht="15" hidden="false" customHeight="false" outlineLevel="0" collapsed="false">
      <c r="B9" s="10" t="s">
        <v>148</v>
      </c>
      <c r="C9" s="15" t="n">
        <v>46307</v>
      </c>
      <c r="D9" s="29" t="s">
        <v>149</v>
      </c>
    </row>
    <row r="10" customFormat="false" ht="15" hidden="false" customHeight="false" outlineLevel="0" collapsed="false">
      <c r="B10" s="10" t="s">
        <v>150</v>
      </c>
      <c r="C10" s="15" t="n">
        <v>46307</v>
      </c>
      <c r="D10" s="29" t="s">
        <v>149</v>
      </c>
    </row>
  </sheetData>
  <conditionalFormatting sqref="D5:D20">
    <cfRule type="cellIs" priority="2" operator="equal" aboveAverage="0" equalAverage="0" bottom="0" percent="0" rank="0" text="" dxfId="3">
      <formula>"Yes"</formula>
    </cfRule>
    <cfRule type="cellIs" priority="3" operator="equal" aboveAverage="0" equalAverage="0" bottom="0" percent="0" rank="0" text="" dxfId="13">
      <formula>"No"</formula>
    </cfRule>
  </conditionalFormatting>
  <dataValidations count="1">
    <dataValidation allowBlank="true" errorStyle="stop" operator="between" showDropDown="false" showErrorMessage="false" showInputMessage="false" sqref="D5:D2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2026-09-29T00:29:46Z</dcterms:created>
  <dc:creator>openpyxl</dc:creator>
  <dc:description/>
  <dc:language>en-US</dc:language>
  <cp:lastModifiedBy/>
  <dcterms:modified xsi:type="dcterms:W3CDTF">2026-09-29T00:29:46Z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