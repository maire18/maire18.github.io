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Customer Master" sheetId="3" state="visible" r:id="rId5"/>
    <sheet name="Raw Combined" sheetId="4" state="visible" r:id="rId6"/>
    <sheet name="Change Log" sheetId="5" state="visible" r:id="rId7"/>
    <sheet name="Duplicate Log" sheetId="6" state="visible" r:id="rId8"/>
    <sheet name="Follow-up Queue" sheetId="7" state="visible" r:id="rId9"/>
    <sheet name="Data Quality" sheetId="8" state="visible" r:id="rId10"/>
    <sheet name="Data Dictionary" sheetId="9" state="visible" r:id="rId11"/>
    <sheet name="Lists" sheetId="10" state="visible" r:id="rId12"/>
  </sheets>
  <definedNames>
    <definedName function="false" hidden="false" localSheetId="4" name="_xlnm.Print_Titles" vbProcedure="false">'Change Log'!$1:$1</definedName>
    <definedName function="false" hidden="false" localSheetId="2" name="_xlnm.Print_Titles" vbProcedure="false">'Customer Master'!$1:$1</definedName>
    <definedName function="false" hidden="false" localSheetId="3" name="_xlnm.Print_Titles" vbProcedure="false">'Raw Combined'!$1:$1</definedName>
    <definedName function="false" hidden="false" name="AsOfDate" vbProcedure="false">'Start Here'!$C$6</definedName>
    <definedName function="false" hidden="false" name="CityList" vbProcedure="false">Lists!$B$6:$B$16</definedName>
    <definedName function="false" hidden="false" name="ConsentList" vbProcedure="false">Lists!$D$6:$D$7</definedName>
    <definedName function="false" hidden="false" name="OwnerList" vbProcedure="false">Lists!$F$6:$F$8</definedName>
    <definedName function="false" hidden="false" name="ProvinceList" vbProcedure="false">Lists!$C$6:$C$11</definedName>
    <definedName function="false" hidden="false" name="SegmentList" vbProcedure="false">Lists!$G$6:$G$10</definedName>
    <definedName function="false" hidden="false" name="SourceList" vbProcedure="false">Lists!$H$6:$H$8</definedName>
    <definedName function="false" hidden="false" name="StatusList" vbProcedure="false">Lists!$E$6:$E$8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<sst xmlns="http://schemas.openxmlformats.org/spreadsheetml/2006/main" count="16230" uniqueCount="3619">
  <si>
    <t xml:space="preserve">BICOL HOME GOODS  ·  CUSTOMER DATABASE CLEANUP</t>
  </si>
  <si>
    <t xml:space="preserve">One clean customer list from three messy files</t>
  </si>
  <si>
    <t xml:space="preserve">Three customer files (online store, Facebook Page orders and in-store loyalty sign-ups) were combined, cleaned, de-duplicated and checked, so the shop can move to one CRM and start a loyalty program. The raw file is kept untouched. Every change is logged.</t>
  </si>
  <si>
    <t xml:space="preserve">Report date</t>
  </si>
  <si>
    <t xml:space="preserve">Prepared by</t>
  </si>
  <si>
    <t xml:space="preserve">Mary Rose Obsuna, Virtual Assistant</t>
  </si>
  <si>
    <t xml:space="preserve">Data</t>
  </si>
  <si>
    <t xml:space="preserve">Fictional sample. All names, emails and numbers are made up for demonstration.</t>
  </si>
  <si>
    <t xml:space="preserve">Sheets in this workbook</t>
  </si>
  <si>
    <t xml:space="preserve">Sheet</t>
  </si>
  <si>
    <t xml:space="preserve">What it holds</t>
  </si>
  <si>
    <t xml:space="preserve">Dashboard</t>
  </si>
  <si>
    <t xml:space="preserve">Headline numbers, data quality before and after, customer segments and where customers live. All live formulas.</t>
  </si>
  <si>
    <t xml:space="preserve">Customer Master</t>
  </si>
  <si>
    <t xml:space="preserve">The clean list: one row per customer, ready to import into a CRM. Checks and segments update on their own.</t>
  </si>
  <si>
    <t xml:space="preserve">Raw Combined</t>
  </si>
  <si>
    <t xml:space="preserve">The three source files stacked exactly as received. Never edited, so every change can be traced.</t>
  </si>
  <si>
    <t xml:space="preserve">Change Log</t>
  </si>
  <si>
    <t xml:space="preserve">Every field that changed: raw row, field, value before, value after and the rule applied.</t>
  </si>
  <si>
    <t xml:space="preserve">Duplicate Log</t>
  </si>
  <si>
    <t xml:space="preserve">Which raw rows were the same customer, how they were matched and what was kept.</t>
  </si>
  <si>
    <t xml:space="preserve">Follow-up Queue</t>
  </si>
  <si>
    <t xml:space="preserve">Customers missing an email, mobile or consent, with the next action, owner and status.</t>
  </si>
  <si>
    <t xml:space="preserve">Data Quality</t>
  </si>
  <si>
    <t xml:space="preserve">Scorecard on four standard checks, measured on the raw file and on the clean list, plus fixes by field.</t>
  </si>
  <si>
    <t xml:space="preserve">Data Dictionary</t>
  </si>
  <si>
    <t xml:space="preserve">What each column means, its format and the rule that keeps it clean.</t>
  </si>
  <si>
    <t xml:space="preserve">Lists</t>
  </si>
  <si>
    <t xml:space="preserve">Approved values used by the dropdowns (cities, provinces, consent, follow-up status).</t>
  </si>
  <si>
    <t xml:space="preserve">How the cleanup was done</t>
  </si>
  <si>
    <t xml:space="preserve">1  Protect the original</t>
  </si>
  <si>
    <t xml:space="preserve">Combined the three exports into Raw Combined with a row number (R001...) and source reference, then left it untouched.</t>
  </si>
  <si>
    <t xml:space="preserve">2  Standardize every field</t>
  </si>
  <si>
    <t xml:space="preserve">Names in proper case with extra spaces removed, emails in lowercase with domain typos fixed, one mobile format (+63 9XX XXX XXXX), one spelling per city, full province names, real dates, and numbers instead of text.</t>
  </si>
  <si>
    <t xml:space="preserve">3  Find duplicates</t>
  </si>
  <si>
    <t xml:space="preserve">Matched rows by the same email first, then the same mobile number, then the same name and city. Each match was checked before merging.</t>
  </si>
  <si>
    <t xml:space="preserve">4  Merge carefully</t>
  </si>
  <si>
    <t xml:space="preserve">Duplicates across sources were merged: orders and spend added up, earliest first order and latest last order kept. Rows exported twice from the same file were kept once.</t>
  </si>
  <si>
    <t xml:space="preserve">5  Check and score</t>
  </si>
  <si>
    <t xml:space="preserve">Measured completeness, validity, consistency and uniqueness before and after. Added dropdowns and checks so new rows stay clean.</t>
  </si>
  <si>
    <t xml:space="preserve">6  Hand over</t>
  </si>
  <si>
    <t xml:space="preserve">Customers with missing details went to the Follow-up Queue with a clear next step. The clean list is ready for CRM import.</t>
  </si>
  <si>
    <t xml:space="preserve">Color key</t>
  </si>
  <si>
    <t xml:space="preserve">Blue header: column names</t>
  </si>
  <si>
    <t xml:space="preserve">Light blue cell: needs a follow-up action</t>
  </si>
  <si>
    <t xml:space="preserve">Gray cell: formula, do not type over it</t>
  </si>
  <si>
    <t xml:space="preserve">BICOL HOME GOODS  ·  CUSTOMER DATABASE</t>
  </si>
  <si>
    <t xml:space="preserve">Customer Data Cleanup Dashboard</t>
  </si>
  <si>
    <t xml:space="preserve">Raw rows received</t>
  </si>
  <si>
    <t xml:space="preserve">Duplicate rows removed</t>
  </si>
  <si>
    <t xml:space="preserve">Fields corrected</t>
  </si>
  <si>
    <t xml:space="preserve">Clean customers</t>
  </si>
  <si>
    <t xml:space="preserve">From 3 source files</t>
  </si>
  <si>
    <t xml:space="preserve">Every change logged</t>
  </si>
  <si>
    <t xml:space="preserve">Data quality score</t>
  </si>
  <si>
    <t xml:space="preserve">Total customer spend</t>
  </si>
  <si>
    <t xml:space="preserve">VIP customers</t>
  </si>
  <si>
    <t xml:space="preserve">Follow-ups open</t>
  </si>
  <si>
    <t xml:space="preserve">Missing email, mobile or consent</t>
  </si>
  <si>
    <t xml:space="preserve">Data quality, before and after</t>
  </si>
  <si>
    <t xml:space="preserve">Check</t>
  </si>
  <si>
    <t xml:space="preserve">Raw file</t>
  </si>
  <si>
    <t xml:space="preserve">Clean list</t>
  </si>
  <si>
    <t xml:space="preserve">Completeness</t>
  </si>
  <si>
    <t xml:space="preserve">Validity</t>
  </si>
  <si>
    <t xml:space="preserve">Consistency</t>
  </si>
  <si>
    <t xml:space="preserve">Uniqueness</t>
  </si>
  <si>
    <t xml:space="preserve">Customer segments</t>
  </si>
  <si>
    <t xml:space="preserve">Segment</t>
  </si>
  <si>
    <t xml:space="preserve">Customers</t>
  </si>
  <si>
    <t xml:space="preserve">Spend</t>
  </si>
  <si>
    <t xml:space="preserve">VIP</t>
  </si>
  <si>
    <t xml:space="preserve">Regular</t>
  </si>
  <si>
    <t xml:space="preserve">New</t>
  </si>
  <si>
    <t xml:space="preserve">At risk</t>
  </si>
  <si>
    <t xml:space="preserve">Lapsed</t>
  </si>
  <si>
    <t xml:space="preserve">Where customers live</t>
  </si>
  <si>
    <t xml:space="preserve">Province</t>
  </si>
  <si>
    <t xml:space="preserve">Share</t>
  </si>
  <si>
    <t xml:space="preserve">Camarines Sur</t>
  </si>
  <si>
    <t xml:space="preserve">Albay</t>
  </si>
  <si>
    <t xml:space="preserve">Sorsogon</t>
  </si>
  <si>
    <t xml:space="preserve">Camarines Norte</t>
  </si>
  <si>
    <t xml:space="preserve">Catanduanes</t>
  </si>
  <si>
    <t xml:space="preserve">Masbate</t>
  </si>
  <si>
    <t xml:space="preserve">Rows received by source</t>
  </si>
  <si>
    <t xml:space="preserve">Duplicates found by rule</t>
  </si>
  <si>
    <t xml:space="preserve">Source</t>
  </si>
  <si>
    <t xml:space="preserve">Raw rows</t>
  </si>
  <si>
    <t xml:space="preserve">Match rule</t>
  </si>
  <si>
    <t xml:space="preserve">Online store</t>
  </si>
  <si>
    <t xml:space="preserve">Same email</t>
  </si>
  <si>
    <t xml:space="preserve">Facebook Page</t>
  </si>
  <si>
    <t xml:space="preserve">Same mobile number</t>
  </si>
  <si>
    <t xml:space="preserve">In-store sign-ups</t>
  </si>
  <si>
    <t xml:space="preserve">Same name and city</t>
  </si>
  <si>
    <t xml:space="preserve">All numbers on this sheet are formulas that read the other sheets. Edit Customer Master and the dashboard updates.</t>
  </si>
  <si>
    <t xml:space="preserve">Customer ID</t>
  </si>
  <si>
    <t xml:space="preserve">First Name</t>
  </si>
  <si>
    <t xml:space="preserve">Last Name</t>
  </si>
  <si>
    <t xml:space="preserve">Email</t>
  </si>
  <si>
    <t xml:space="preserve">Mobile</t>
  </si>
  <si>
    <t xml:space="preserve">City</t>
  </si>
  <si>
    <t xml:space="preserve">Sources</t>
  </si>
  <si>
    <t xml:space="preserve">First Order</t>
  </si>
  <si>
    <t xml:space="preserve">Last Order</t>
  </si>
  <si>
    <t xml:space="preserve">Orders</t>
  </si>
  <si>
    <t xml:space="preserve">Total Spent</t>
  </si>
  <si>
    <t xml:space="preserve">Avg Order</t>
  </si>
  <si>
    <t xml:space="preserve">Consent</t>
  </si>
  <si>
    <t xml:space="preserve">Days Since Last Order</t>
  </si>
  <si>
    <t xml:space="preserve">Email Check</t>
  </si>
  <si>
    <t xml:space="preserve">Mobile Check</t>
  </si>
  <si>
    <t xml:space="preserve">Record Status</t>
  </si>
  <si>
    <t xml:space="preserve">Raw Rows</t>
  </si>
  <si>
    <t xml:space="preserve">BHG-10001</t>
  </si>
  <si>
    <t xml:space="preserve">Fritz</t>
  </si>
  <si>
    <t xml:space="preserve">Francisco</t>
  </si>
  <si>
    <t xml:space="preserve">ffrancisco45@example.com</t>
  </si>
  <si>
    <t xml:space="preserve">+63 961 555 3755</t>
  </si>
  <si>
    <t xml:space="preserve">Daraga</t>
  </si>
  <si>
    <t xml:space="preserve">FB</t>
  </si>
  <si>
    <t xml:space="preserve">R127</t>
  </si>
  <si>
    <t xml:space="preserve">BHG-10002</t>
  </si>
  <si>
    <t xml:space="preserve">Precious</t>
  </si>
  <si>
    <t xml:space="preserve">Briones</t>
  </si>
  <si>
    <t xml:space="preserve">pbriones89@example.com</t>
  </si>
  <si>
    <t xml:space="preserve">+63 920 555 2968</t>
  </si>
  <si>
    <t xml:space="preserve">Naga City</t>
  </si>
  <si>
    <t xml:space="preserve">WEB</t>
  </si>
  <si>
    <t xml:space="preserve">No</t>
  </si>
  <si>
    <t xml:space="preserve">R019</t>
  </si>
  <si>
    <t xml:space="preserve">BHG-10003</t>
  </si>
  <si>
    <t xml:space="preserve">Gemma</t>
  </si>
  <si>
    <t xml:space="preserve">Padilla</t>
  </si>
  <si>
    <t xml:space="preserve">gemma.padilla@example.com</t>
  </si>
  <si>
    <t xml:space="preserve">+63 998 555 4416</t>
  </si>
  <si>
    <t xml:space="preserve">Virac</t>
  </si>
  <si>
    <t xml:space="preserve">R052</t>
  </si>
  <si>
    <t xml:space="preserve">BHG-10004</t>
  </si>
  <si>
    <t xml:space="preserve">Nico</t>
  </si>
  <si>
    <t xml:space="preserve">Torres</t>
  </si>
  <si>
    <t xml:space="preserve">nico.torres@mail.example.com</t>
  </si>
  <si>
    <t xml:space="preserve">+63 977 555 0129</t>
  </si>
  <si>
    <t xml:space="preserve">R161</t>
  </si>
  <si>
    <t xml:space="preserve">BHG-10005</t>
  </si>
  <si>
    <t xml:space="preserve">Gio</t>
  </si>
  <si>
    <t xml:space="preserve">Garcia</t>
  </si>
  <si>
    <t xml:space="preserve">ggarcia53@example.com</t>
  </si>
  <si>
    <t xml:space="preserve">+63 998 555 5135</t>
  </si>
  <si>
    <t xml:space="preserve">Legazpi City</t>
  </si>
  <si>
    <t xml:space="preserve">Yes</t>
  </si>
  <si>
    <t xml:space="preserve">R045</t>
  </si>
  <si>
    <t xml:space="preserve">BHG-10006</t>
  </si>
  <si>
    <t xml:space="preserve">Carlo</t>
  </si>
  <si>
    <t xml:space="preserve">Cortez</t>
  </si>
  <si>
    <t xml:space="preserve">carlo.cortez@example.net</t>
  </si>
  <si>
    <t xml:space="preserve">+63 977 555 6591</t>
  </si>
  <si>
    <t xml:space="preserve">R148</t>
  </si>
  <si>
    <t xml:space="preserve">BHG-10007</t>
  </si>
  <si>
    <t xml:space="preserve">Aira</t>
  </si>
  <si>
    <t xml:space="preserve">Pascual</t>
  </si>
  <si>
    <t xml:space="preserve">aira.pascual@example.com</t>
  </si>
  <si>
    <t xml:space="preserve">Pili</t>
  </si>
  <si>
    <t xml:space="preserve">POS</t>
  </si>
  <si>
    <t xml:space="preserve">R216</t>
  </si>
  <si>
    <t xml:space="preserve">BHG-10008</t>
  </si>
  <si>
    <t xml:space="preserve">Ignacio</t>
  </si>
  <si>
    <t xml:space="preserve">aira.ignacio@example.com</t>
  </si>
  <si>
    <t xml:space="preserve">+63 928 555 5809</t>
  </si>
  <si>
    <t xml:space="preserve">Daet</t>
  </si>
  <si>
    <t xml:space="preserve">R146</t>
  </si>
  <si>
    <t xml:space="preserve">BHG-10009</t>
  </si>
  <si>
    <t xml:space="preserve">Soriano</t>
  </si>
  <si>
    <t xml:space="preserve">carlo.soriano@example.com</t>
  </si>
  <si>
    <t xml:space="preserve">+63 917 555 3722</t>
  </si>
  <si>
    <t xml:space="preserve">R069</t>
  </si>
  <si>
    <t xml:space="preserve">BHG-10010</t>
  </si>
  <si>
    <t xml:space="preserve">Jomar</t>
  </si>
  <si>
    <t xml:space="preserve">Cruz</t>
  </si>
  <si>
    <t xml:space="preserve">jomar.cruz@example.net</t>
  </si>
  <si>
    <t xml:space="preserve">+63 917 555 4023</t>
  </si>
  <si>
    <t xml:space="preserve">WEB + POS</t>
  </si>
  <si>
    <t xml:space="preserve">R005, R201</t>
  </si>
  <si>
    <t xml:space="preserve">BHG-10011</t>
  </si>
  <si>
    <t xml:space="preserve">Cedric</t>
  </si>
  <si>
    <t xml:space="preserve">Fernandez</t>
  </si>
  <si>
    <t xml:space="preserve">cedric.fernandez@example.com</t>
  </si>
  <si>
    <t xml:space="preserve">+63 995 555 6077</t>
  </si>
  <si>
    <t xml:space="preserve">WEB + FB + POS</t>
  </si>
  <si>
    <t xml:space="preserve">R015, R183, R245</t>
  </si>
  <si>
    <t xml:space="preserve">BHG-10012</t>
  </si>
  <si>
    <t xml:space="preserve">Flor</t>
  </si>
  <si>
    <t xml:space="preserve">Evangelista</t>
  </si>
  <si>
    <t xml:space="preserve">flor.evangelista@example.com</t>
  </si>
  <si>
    <t xml:space="preserve">+63 918 555 6322</t>
  </si>
  <si>
    <t xml:space="preserve">R180, R182</t>
  </si>
  <si>
    <t xml:space="preserve">BHG-10013</t>
  </si>
  <si>
    <t xml:space="preserve">Nina</t>
  </si>
  <si>
    <t xml:space="preserve">Hidalgo</t>
  </si>
  <si>
    <t xml:space="preserve">nina.hidalgo@example.com</t>
  </si>
  <si>
    <t xml:space="preserve">+63 977 555 4270</t>
  </si>
  <si>
    <t xml:space="preserve">R029</t>
  </si>
  <si>
    <t xml:space="preserve">BHG-10014</t>
  </si>
  <si>
    <t xml:space="preserve">Santiago</t>
  </si>
  <si>
    <t xml:space="preserve">aira.santiago@example.com</t>
  </si>
  <si>
    <t xml:space="preserve">+63 918 555 8391</t>
  </si>
  <si>
    <t xml:space="preserve">R123</t>
  </si>
  <si>
    <t xml:space="preserve">BHG-10015</t>
  </si>
  <si>
    <t xml:space="preserve">Pauline</t>
  </si>
  <si>
    <t xml:space="preserve">pauline.cruz@example.com</t>
  </si>
  <si>
    <t xml:space="preserve">+63 998 555 8552</t>
  </si>
  <si>
    <t xml:space="preserve">R009, R039</t>
  </si>
  <si>
    <t xml:space="preserve">BHG-10016</t>
  </si>
  <si>
    <t xml:space="preserve">Hannah</t>
  </si>
  <si>
    <t xml:space="preserve">hannah.cortez@example.com</t>
  </si>
  <si>
    <t xml:space="preserve">+63 918 555 7216</t>
  </si>
  <si>
    <t xml:space="preserve">Buhi</t>
  </si>
  <si>
    <t xml:space="preserve">R184</t>
  </si>
  <si>
    <t xml:space="preserve">BHG-10017</t>
  </si>
  <si>
    <t xml:space="preserve">Erika</t>
  </si>
  <si>
    <t xml:space="preserve">erika.francisco@example.org</t>
  </si>
  <si>
    <t xml:space="preserve">+63 919 555 4129</t>
  </si>
  <si>
    <t xml:space="preserve">R049, R091</t>
  </si>
  <si>
    <t xml:space="preserve">BHG-10018</t>
  </si>
  <si>
    <t xml:space="preserve">Dolor</t>
  </si>
  <si>
    <t xml:space="preserve">dolor.garcia@mail.example.com</t>
  </si>
  <si>
    <t xml:space="preserve">+63 954 555 7220</t>
  </si>
  <si>
    <t xml:space="preserve">R246</t>
  </si>
  <si>
    <t xml:space="preserve">BHG-10019</t>
  </si>
  <si>
    <t xml:space="preserve">Ronald</t>
  </si>
  <si>
    <t xml:space="preserve">Nolasco</t>
  </si>
  <si>
    <t xml:space="preserve">+63 961 555 8956</t>
  </si>
  <si>
    <t xml:space="preserve">R228</t>
  </si>
  <si>
    <t xml:space="preserve">BHG-10020</t>
  </si>
  <si>
    <t xml:space="preserve">Queenie</t>
  </si>
  <si>
    <t xml:space="preserve">Lualhati</t>
  </si>
  <si>
    <t xml:space="preserve">queenie.lualhati@example.com</t>
  </si>
  <si>
    <t xml:space="preserve">+63 945 555 3327</t>
  </si>
  <si>
    <t xml:space="preserve">Iriga City</t>
  </si>
  <si>
    <t xml:space="preserve">R242</t>
  </si>
  <si>
    <t xml:space="preserve">BHG-10021</t>
  </si>
  <si>
    <t xml:space="preserve">Jerome</t>
  </si>
  <si>
    <t xml:space="preserve">Ocampo</t>
  </si>
  <si>
    <t xml:space="preserve">jerome.ocampo@mail.example.com</t>
  </si>
  <si>
    <t xml:space="preserve">+63 927 555 4463</t>
  </si>
  <si>
    <t xml:space="preserve">R086, R226</t>
  </si>
  <si>
    <t xml:space="preserve">BHG-10022</t>
  </si>
  <si>
    <t xml:space="preserve">Sarah</t>
  </si>
  <si>
    <t xml:space="preserve">sarah.pascual@mail.example.com</t>
  </si>
  <si>
    <t xml:space="preserve">+63 998 555 7907</t>
  </si>
  <si>
    <t xml:space="preserve">R243</t>
  </si>
  <si>
    <t xml:space="preserve">BHG-10023</t>
  </si>
  <si>
    <t xml:space="preserve">Ivan</t>
  </si>
  <si>
    <t xml:space="preserve">Navarro</t>
  </si>
  <si>
    <t xml:space="preserve">ivan.navarro@example.com</t>
  </si>
  <si>
    <t xml:space="preserve">+63 918 555 8417</t>
  </si>
  <si>
    <t xml:space="preserve">Sorsogon City</t>
  </si>
  <si>
    <t xml:space="preserve">R118</t>
  </si>
  <si>
    <t xml:space="preserve">BHG-10024</t>
  </si>
  <si>
    <t xml:space="preserve">Odette</t>
  </si>
  <si>
    <t xml:space="preserve">Gonzales</t>
  </si>
  <si>
    <t xml:space="preserve">odette.gonzales@example.org</t>
  </si>
  <si>
    <t xml:space="preserve">+63 954 555 6686</t>
  </si>
  <si>
    <t xml:space="preserve">R078</t>
  </si>
  <si>
    <t xml:space="preserve">BHG-10025</t>
  </si>
  <si>
    <t xml:space="preserve">Tristan</t>
  </si>
  <si>
    <t xml:space="preserve">Morales</t>
  </si>
  <si>
    <t xml:space="preserve">tristan.morales@example.com</t>
  </si>
  <si>
    <t xml:space="preserve">+63 998 555 6749</t>
  </si>
  <si>
    <t xml:space="preserve">R040</t>
  </si>
  <si>
    <t xml:space="preserve">BHG-10026</t>
  </si>
  <si>
    <t xml:space="preserve">Edwin</t>
  </si>
  <si>
    <t xml:space="preserve">Valdez</t>
  </si>
  <si>
    <t xml:space="preserve">edwin.valdez@example.com</t>
  </si>
  <si>
    <t xml:space="preserve">+63 928 555 4401</t>
  </si>
  <si>
    <t xml:space="preserve">R003</t>
  </si>
  <si>
    <t xml:space="preserve">BHG-10027</t>
  </si>
  <si>
    <t xml:space="preserve">precious.nolasco@example.com</t>
  </si>
  <si>
    <t xml:space="preserve">+63 918 555 0963</t>
  </si>
  <si>
    <t xml:space="preserve">R110</t>
  </si>
  <si>
    <t xml:space="preserve">BHG-10028</t>
  </si>
  <si>
    <t xml:space="preserve">De Leon</t>
  </si>
  <si>
    <t xml:space="preserve">cedric.deleon@mail.example.com</t>
  </si>
  <si>
    <t xml:space="preserve">+63 919 555 3704</t>
  </si>
  <si>
    <t xml:space="preserve">WEB + FB</t>
  </si>
  <si>
    <t xml:space="preserve">R097, R185</t>
  </si>
  <si>
    <t xml:space="preserve">BHG-10029</t>
  </si>
  <si>
    <t xml:space="preserve">Tolentino</t>
  </si>
  <si>
    <t xml:space="preserve">+63 995 555 6521</t>
  </si>
  <si>
    <t xml:space="preserve">R172</t>
  </si>
  <si>
    <t xml:space="preserve">BHG-10030</t>
  </si>
  <si>
    <t xml:space="preserve">Sison</t>
  </si>
  <si>
    <t xml:space="preserve">tristan.sison@example.org</t>
  </si>
  <si>
    <t xml:space="preserve">+63 954 555 1403</t>
  </si>
  <si>
    <t xml:space="preserve">Masbate City</t>
  </si>
  <si>
    <t xml:space="preserve">R002</t>
  </si>
  <si>
    <t xml:space="preserve">BHG-10031</t>
  </si>
  <si>
    <t xml:space="preserve">Xander</t>
  </si>
  <si>
    <t xml:space="preserve">xander.torres@example.com</t>
  </si>
  <si>
    <t xml:space="preserve">+63 995 555 6206</t>
  </si>
  <si>
    <t xml:space="preserve">R126</t>
  </si>
  <si>
    <t xml:space="preserve">BHG-10032</t>
  </si>
  <si>
    <t xml:space="preserve">Wendy</t>
  </si>
  <si>
    <t xml:space="preserve">Tan</t>
  </si>
  <si>
    <t xml:space="preserve">wendy.tan@example.com</t>
  </si>
  <si>
    <t xml:space="preserve">+63 928 555 3453</t>
  </si>
  <si>
    <t xml:space="preserve">R063</t>
  </si>
  <si>
    <t xml:space="preserve">BHG-10033</t>
  </si>
  <si>
    <t xml:space="preserve">Dimaculangan</t>
  </si>
  <si>
    <t xml:space="preserve">wendy.dimaculangan@example.com</t>
  </si>
  <si>
    <t xml:space="preserve">+63 928 555 6822</t>
  </si>
  <si>
    <t xml:space="preserve">FB + POS</t>
  </si>
  <si>
    <t xml:space="preserve">R167, R257</t>
  </si>
  <si>
    <t xml:space="preserve">BHG-10034</t>
  </si>
  <si>
    <t xml:space="preserve">Mark</t>
  </si>
  <si>
    <t xml:space="preserve">mark.gonzales@example.com</t>
  </si>
  <si>
    <t xml:space="preserve">+63 945 555 2257</t>
  </si>
  <si>
    <t xml:space="preserve">R134</t>
  </si>
  <si>
    <t xml:space="preserve">BHG-10035</t>
  </si>
  <si>
    <t xml:space="preserve">Oscar</t>
  </si>
  <si>
    <t xml:space="preserve">Quiambao</t>
  </si>
  <si>
    <t xml:space="preserve">oscar.quiambao@example.net</t>
  </si>
  <si>
    <t xml:space="preserve">+63 928 555 5585</t>
  </si>
  <si>
    <t xml:space="preserve">Tabaco City</t>
  </si>
  <si>
    <t xml:space="preserve">R125, R192</t>
  </si>
  <si>
    <t xml:space="preserve">BHG-10036</t>
  </si>
  <si>
    <t xml:space="preserve">Zaldy</t>
  </si>
  <si>
    <t xml:space="preserve">Obsuna</t>
  </si>
  <si>
    <t xml:space="preserve">zaldy.obsuna@example.com</t>
  </si>
  <si>
    <t xml:space="preserve">+63 961 555 1192</t>
  </si>
  <si>
    <t xml:space="preserve">R028</t>
  </si>
  <si>
    <t xml:space="preserve">BHG-10037</t>
  </si>
  <si>
    <t xml:space="preserve">Mia</t>
  </si>
  <si>
    <t xml:space="preserve">mia.fernandez@example.com</t>
  </si>
  <si>
    <t xml:space="preserve">+63 927 555 4680</t>
  </si>
  <si>
    <t xml:space="preserve">R237</t>
  </si>
  <si>
    <t xml:space="preserve">BHG-10038</t>
  </si>
  <si>
    <t xml:space="preserve">Rodel</t>
  </si>
  <si>
    <t xml:space="preserve">rodel.sison@example.net</t>
  </si>
  <si>
    <t xml:space="preserve">+63 945 555 2777</t>
  </si>
  <si>
    <t xml:space="preserve">R094</t>
  </si>
  <si>
    <t xml:space="preserve">BHG-10039</t>
  </si>
  <si>
    <t xml:space="preserve">Rivera</t>
  </si>
  <si>
    <t xml:space="preserve">carlo.rivera@example.com</t>
  </si>
  <si>
    <t xml:space="preserve">+63 920 555 0814</t>
  </si>
  <si>
    <t xml:space="preserve">R114</t>
  </si>
  <si>
    <t xml:space="preserve">BHG-10040</t>
  </si>
  <si>
    <t xml:space="preserve">Vince</t>
  </si>
  <si>
    <t xml:space="preserve">Roxas</t>
  </si>
  <si>
    <t xml:space="preserve">vince.roxas@example.com</t>
  </si>
  <si>
    <t xml:space="preserve">+63 977 555 2938</t>
  </si>
  <si>
    <t xml:space="preserve">R204</t>
  </si>
  <si>
    <t xml:space="preserve">BHG-10041</t>
  </si>
  <si>
    <t xml:space="preserve">Owen</t>
  </si>
  <si>
    <t xml:space="preserve">Galang</t>
  </si>
  <si>
    <t xml:space="preserve">owen.galang@example.net</t>
  </si>
  <si>
    <t xml:space="preserve">+63 927 555 1033</t>
  </si>
  <si>
    <t xml:space="preserve">R224</t>
  </si>
  <si>
    <t xml:space="preserve">BHG-10042</t>
  </si>
  <si>
    <t xml:space="preserve">Rey</t>
  </si>
  <si>
    <t xml:space="preserve">Vergara</t>
  </si>
  <si>
    <t xml:space="preserve">rvergara98@mail.example.com</t>
  </si>
  <si>
    <t xml:space="preserve">+63 961 555 9883</t>
  </si>
  <si>
    <t xml:space="preserve">R031</t>
  </si>
  <si>
    <t xml:space="preserve">BHG-10043</t>
  </si>
  <si>
    <t xml:space="preserve">Ilagan</t>
  </si>
  <si>
    <t xml:space="preserve">eilagan76@example.com</t>
  </si>
  <si>
    <t xml:space="preserve">+63 977 555 8984</t>
  </si>
  <si>
    <t xml:space="preserve">R169</t>
  </si>
  <si>
    <t xml:space="preserve">BHG-10044</t>
  </si>
  <si>
    <t xml:space="preserve">Tess</t>
  </si>
  <si>
    <t xml:space="preserve">tess.torres@mail.example.com</t>
  </si>
  <si>
    <t xml:space="preserve">+63 961 555 8712</t>
  </si>
  <si>
    <t xml:space="preserve">R037, R264</t>
  </si>
  <si>
    <t xml:space="preserve">BHG-10045</t>
  </si>
  <si>
    <t xml:space="preserve">Wilma</t>
  </si>
  <si>
    <t xml:space="preserve">+63 998 555 3127</t>
  </si>
  <si>
    <t xml:space="preserve">R155</t>
  </si>
  <si>
    <t xml:space="preserve">BHG-10046</t>
  </si>
  <si>
    <t xml:space="preserve">zaldy.morales@example.com</t>
  </si>
  <si>
    <t xml:space="preserve">+63 977 555 6014</t>
  </si>
  <si>
    <t xml:space="preserve">R047, R129</t>
  </si>
  <si>
    <t xml:space="preserve">BHG-10047</t>
  </si>
  <si>
    <t xml:space="preserve">Marites</t>
  </si>
  <si>
    <t xml:space="preserve">mlualhati41@example.com</t>
  </si>
  <si>
    <t xml:space="preserve">+63 998 555 0148</t>
  </si>
  <si>
    <t xml:space="preserve">R061</t>
  </si>
  <si>
    <t xml:space="preserve">BHG-10048</t>
  </si>
  <si>
    <t xml:space="preserve">Dizon</t>
  </si>
  <si>
    <t xml:space="preserve">mark.dizon@example.com</t>
  </si>
  <si>
    <t xml:space="preserve">+63 945 555 6838</t>
  </si>
  <si>
    <t xml:space="preserve">R109</t>
  </si>
  <si>
    <t xml:space="preserve">BHG-10049</t>
  </si>
  <si>
    <t xml:space="preserve">Patrick</t>
  </si>
  <si>
    <t xml:space="preserve">Magno</t>
  </si>
  <si>
    <t xml:space="preserve">patrick.magno@example.com</t>
  </si>
  <si>
    <t xml:space="preserve">+63 977 555 0749</t>
  </si>
  <si>
    <t xml:space="preserve">R034</t>
  </si>
  <si>
    <t xml:space="preserve">BHG-10050</t>
  </si>
  <si>
    <t xml:space="preserve">Gerald</t>
  </si>
  <si>
    <t xml:space="preserve">Santos</t>
  </si>
  <si>
    <t xml:space="preserve">gerald.santos@example.com</t>
  </si>
  <si>
    <t xml:space="preserve">+63 995 555 4394</t>
  </si>
  <si>
    <t xml:space="preserve">R014</t>
  </si>
  <si>
    <t xml:space="preserve">BHG-10051</t>
  </si>
  <si>
    <t xml:space="preserve">Irene</t>
  </si>
  <si>
    <t xml:space="preserve">Lim</t>
  </si>
  <si>
    <t xml:space="preserve">irene.lim@example.net</t>
  </si>
  <si>
    <t xml:space="preserve">+63 954 555 1150</t>
  </si>
  <si>
    <t xml:space="preserve">R203</t>
  </si>
  <si>
    <t xml:space="preserve">BHG-10052</t>
  </si>
  <si>
    <t xml:space="preserve">+63 954 555 2665</t>
  </si>
  <si>
    <t xml:space="preserve">R200</t>
  </si>
  <si>
    <t xml:space="preserve">BHG-10053</t>
  </si>
  <si>
    <t xml:space="preserve">Francis</t>
  </si>
  <si>
    <t xml:space="preserve">francis.lualhati@example.com</t>
  </si>
  <si>
    <t xml:space="preserve">+63 939 555 1561</t>
  </si>
  <si>
    <t xml:space="preserve">R197</t>
  </si>
  <si>
    <t xml:space="preserve">BHG-10054</t>
  </si>
  <si>
    <t xml:space="preserve">Miguel</t>
  </si>
  <si>
    <t xml:space="preserve">miguel.cruz@example.com</t>
  </si>
  <si>
    <t xml:space="preserve">+63 919 555 6778</t>
  </si>
  <si>
    <t xml:space="preserve">R006, R137</t>
  </si>
  <si>
    <t xml:space="preserve">BHG-10055</t>
  </si>
  <si>
    <t xml:space="preserve">Rica</t>
  </si>
  <si>
    <t xml:space="preserve">Panganiban</t>
  </si>
  <si>
    <t xml:space="preserve">+63 928 555 3569</t>
  </si>
  <si>
    <t xml:space="preserve">R214</t>
  </si>
  <si>
    <t xml:space="preserve">BHG-10056</t>
  </si>
  <si>
    <t xml:space="preserve">Lacson</t>
  </si>
  <si>
    <t xml:space="preserve">+63 998 555 5918</t>
  </si>
  <si>
    <t xml:space="preserve">R159</t>
  </si>
  <si>
    <t xml:space="preserve">BHG-10057</t>
  </si>
  <si>
    <t xml:space="preserve">Lara</t>
  </si>
  <si>
    <t xml:space="preserve">Flores</t>
  </si>
  <si>
    <t xml:space="preserve">lflores25@example.com</t>
  </si>
  <si>
    <t xml:space="preserve">+63 961 555 2883</t>
  </si>
  <si>
    <t xml:space="preserve">R208</t>
  </si>
  <si>
    <t xml:space="preserve">BHG-10058</t>
  </si>
  <si>
    <t xml:space="preserve">erika.cortez@mail.example.com</t>
  </si>
  <si>
    <t xml:space="preserve">+63 945 555 8848</t>
  </si>
  <si>
    <t xml:space="preserve">R075</t>
  </si>
  <si>
    <t xml:space="preserve">BHG-10059</t>
  </si>
  <si>
    <t xml:space="preserve">Lorna</t>
  </si>
  <si>
    <t xml:space="preserve">Uy</t>
  </si>
  <si>
    <t xml:space="preserve">luy73@example.org</t>
  </si>
  <si>
    <t xml:space="preserve">+63 918 555 8023</t>
  </si>
  <si>
    <t xml:space="preserve">R012</t>
  </si>
  <si>
    <t xml:space="preserve">BHG-10060</t>
  </si>
  <si>
    <t xml:space="preserve">Olive</t>
  </si>
  <si>
    <t xml:space="preserve">olive.lacson@example.com</t>
  </si>
  <si>
    <t xml:space="preserve">+63 919 555 0148</t>
  </si>
  <si>
    <t xml:space="preserve">R072, R258</t>
  </si>
  <si>
    <t xml:space="preserve">BHG-10061</t>
  </si>
  <si>
    <t xml:space="preserve">gemma.navarro@example.com</t>
  </si>
  <si>
    <t xml:space="preserve">+63 961 555 2518</t>
  </si>
  <si>
    <t xml:space="preserve">R256</t>
  </si>
  <si>
    <t xml:space="preserve">BHG-10062</t>
  </si>
  <si>
    <t xml:space="preserve">Ella</t>
  </si>
  <si>
    <t xml:space="preserve">ecruz68@example.com</t>
  </si>
  <si>
    <t xml:space="preserve">+63 954 555 9220</t>
  </si>
  <si>
    <t xml:space="preserve">R251</t>
  </si>
  <si>
    <t xml:space="preserve">BHG-10063</t>
  </si>
  <si>
    <t xml:space="preserve">Cathy</t>
  </si>
  <si>
    <t xml:space="preserve">Domingo</t>
  </si>
  <si>
    <t xml:space="preserve">cathy.domingo@example.com</t>
  </si>
  <si>
    <t xml:space="preserve">+63 995 555 3099</t>
  </si>
  <si>
    <t xml:space="preserve">R157, R227</t>
  </si>
  <si>
    <t xml:space="preserve">BHG-10064</t>
  </si>
  <si>
    <t xml:space="preserve">Jessa</t>
  </si>
  <si>
    <t xml:space="preserve">Mendoza</t>
  </si>
  <si>
    <t xml:space="preserve">jmendoza32@example.com</t>
  </si>
  <si>
    <t xml:space="preserve">+63 977 555 0698</t>
  </si>
  <si>
    <t xml:space="preserve">R055, R115, R229</t>
  </si>
  <si>
    <t xml:space="preserve">BHG-10065</t>
  </si>
  <si>
    <t xml:space="preserve">Joy</t>
  </si>
  <si>
    <t xml:space="preserve">joy.padilla@example.net</t>
  </si>
  <si>
    <t xml:space="preserve">+63 917 555 6115</t>
  </si>
  <si>
    <t xml:space="preserve">R018</t>
  </si>
  <si>
    <t xml:space="preserve">BHG-10066</t>
  </si>
  <si>
    <t xml:space="preserve">Chua</t>
  </si>
  <si>
    <t xml:space="preserve">hannah.chua@example.com</t>
  </si>
  <si>
    <t xml:space="preserve">+63 998 555 2644</t>
  </si>
  <si>
    <t xml:space="preserve">R048</t>
  </si>
  <si>
    <t xml:space="preserve">BHG-10067</t>
  </si>
  <si>
    <t xml:space="preserve">Manalo</t>
  </si>
  <si>
    <t xml:space="preserve">tess.manalo@mail.example.com</t>
  </si>
  <si>
    <t xml:space="preserve">+63 998 555 0205</t>
  </si>
  <si>
    <t xml:space="preserve">R007, R131</t>
  </si>
  <si>
    <t xml:space="preserve">BHG-10068</t>
  </si>
  <si>
    <t xml:space="preserve">Clara</t>
  </si>
  <si>
    <t xml:space="preserve">clualhati44@example.com</t>
  </si>
  <si>
    <t xml:space="preserve">+63 954 555 2028</t>
  </si>
  <si>
    <t xml:space="preserve">R010</t>
  </si>
  <si>
    <t xml:space="preserve">BHG-10069</t>
  </si>
  <si>
    <t xml:space="preserve">Sam</t>
  </si>
  <si>
    <t xml:space="preserve">sam.ocampo@example.com</t>
  </si>
  <si>
    <t xml:space="preserve">+63 919 555 9762</t>
  </si>
  <si>
    <t xml:space="preserve">R082, R145</t>
  </si>
  <si>
    <t xml:space="preserve">BHG-10070</t>
  </si>
  <si>
    <t xml:space="preserve">+63 945 555 5892</t>
  </si>
  <si>
    <t xml:space="preserve">R150</t>
  </si>
  <si>
    <t xml:space="preserve">BHG-10071</t>
  </si>
  <si>
    <t xml:space="preserve">jessa.santos@example.com</t>
  </si>
  <si>
    <t xml:space="preserve">+63 945 555 2478</t>
  </si>
  <si>
    <t xml:space="preserve">R025</t>
  </si>
  <si>
    <t xml:space="preserve">BHG-10072</t>
  </si>
  <si>
    <t xml:space="preserve">Villanueva</t>
  </si>
  <si>
    <t xml:space="preserve">cathy.villanueva@example.com</t>
  </si>
  <si>
    <t xml:space="preserve">+63 919 555 9670</t>
  </si>
  <si>
    <t xml:space="preserve">R001</t>
  </si>
  <si>
    <t xml:space="preserve">BHG-10073</t>
  </si>
  <si>
    <t xml:space="preserve">Rafael</t>
  </si>
  <si>
    <t xml:space="preserve">rafael.manalo@example.com</t>
  </si>
  <si>
    <t xml:space="preserve">+63 961 555 6678</t>
  </si>
  <si>
    <t xml:space="preserve">R244</t>
  </si>
  <si>
    <t xml:space="preserve">BHG-10074</t>
  </si>
  <si>
    <t xml:space="preserve">Kristine</t>
  </si>
  <si>
    <t xml:space="preserve">kristine.ilagan@example.com</t>
  </si>
  <si>
    <t xml:space="preserve">+63 919 555 5117</t>
  </si>
  <si>
    <t xml:space="preserve">R032, R230</t>
  </si>
  <si>
    <t xml:space="preserve">BHG-10075</t>
  </si>
  <si>
    <t xml:space="preserve">Teddy</t>
  </si>
  <si>
    <t xml:space="preserve">ttorres44@example.com</t>
  </si>
  <si>
    <t xml:space="preserve">+63 939 555 5147</t>
  </si>
  <si>
    <t xml:space="preserve">R026, R154</t>
  </si>
  <si>
    <t xml:space="preserve">BHG-10076</t>
  </si>
  <si>
    <t xml:space="preserve">Salazar</t>
  </si>
  <si>
    <t xml:space="preserve">edwin.salazar@example.com</t>
  </si>
  <si>
    <t xml:space="preserve">+63 995 555 2976</t>
  </si>
  <si>
    <t xml:space="preserve">R219</t>
  </si>
  <si>
    <t xml:space="preserve">BHG-10077</t>
  </si>
  <si>
    <t xml:space="preserve">Castillo</t>
  </si>
  <si>
    <t xml:space="preserve">kristine.castillo@example.com</t>
  </si>
  <si>
    <t xml:space="preserve">+63 954 555 5696</t>
  </si>
  <si>
    <t xml:space="preserve">R027, R253</t>
  </si>
  <si>
    <t xml:space="preserve">BHG-10078</t>
  </si>
  <si>
    <t xml:space="preserve">Reyes</t>
  </si>
  <si>
    <t xml:space="preserve">fritz.reyes@example.com</t>
  </si>
  <si>
    <t xml:space="preserve">+63 945 555 6114</t>
  </si>
  <si>
    <t xml:space="preserve">R043</t>
  </si>
  <si>
    <t xml:space="preserve">BHG-10079</t>
  </si>
  <si>
    <t xml:space="preserve">jhidalgo74@example.com</t>
  </si>
  <si>
    <t xml:space="preserve">+63 954 555 4505</t>
  </si>
  <si>
    <t xml:space="preserve">R107</t>
  </si>
  <si>
    <t xml:space="preserve">BHG-10080</t>
  </si>
  <si>
    <t xml:space="preserve">Elmer</t>
  </si>
  <si>
    <t xml:space="preserve">elmer.ilagan@mail.example.com</t>
  </si>
  <si>
    <t xml:space="preserve">+63 920 555 2439</t>
  </si>
  <si>
    <t xml:space="preserve">R102</t>
  </si>
  <si>
    <t xml:space="preserve">BHG-10081</t>
  </si>
  <si>
    <t xml:space="preserve">Bernadette</t>
  </si>
  <si>
    <t xml:space="preserve">Cabrera</t>
  </si>
  <si>
    <t xml:space="preserve">bernadette.cabrera@example.com</t>
  </si>
  <si>
    <t xml:space="preserve">+63 939 555 7626</t>
  </si>
  <si>
    <t xml:space="preserve">R112, R252</t>
  </si>
  <si>
    <t xml:space="preserve">BHG-10082</t>
  </si>
  <si>
    <t xml:space="preserve">+63 927 555 1010</t>
  </si>
  <si>
    <t xml:space="preserve">R158</t>
  </si>
  <si>
    <t xml:space="preserve">BHG-10083</t>
  </si>
  <si>
    <t xml:space="preserve">rgarcia1@example.com</t>
  </si>
  <si>
    <t xml:space="preserve">+63 918 555 2870</t>
  </si>
  <si>
    <t xml:space="preserve">R130</t>
  </si>
  <si>
    <t xml:space="preserve">BHG-10084</t>
  </si>
  <si>
    <t xml:space="preserve">Marvin</t>
  </si>
  <si>
    <t xml:space="preserve">marvin.torres@example.com</t>
  </si>
  <si>
    <t xml:space="preserve">+63 998 555 8961</t>
  </si>
  <si>
    <t xml:space="preserve">R120</t>
  </si>
  <si>
    <t xml:space="preserve">BHG-10085</t>
  </si>
  <si>
    <t xml:space="preserve">Encarnacion</t>
  </si>
  <si>
    <t xml:space="preserve">edwin.encarnacion@example.com</t>
  </si>
  <si>
    <t xml:space="preserve">+63 927 555 9969</t>
  </si>
  <si>
    <t xml:space="preserve">R080</t>
  </si>
  <si>
    <t xml:space="preserve">BHG-10086</t>
  </si>
  <si>
    <t xml:space="preserve">Kevin</t>
  </si>
  <si>
    <t xml:space="preserve">Zamora</t>
  </si>
  <si>
    <t xml:space="preserve">kzamora29@example.com</t>
  </si>
  <si>
    <t xml:space="preserve">+63 995 555 4996</t>
  </si>
  <si>
    <t xml:space="preserve">R042</t>
  </si>
  <si>
    <t xml:space="preserve">BHG-10087</t>
  </si>
  <si>
    <t xml:space="preserve">mmagno62@mail.example.com</t>
  </si>
  <si>
    <t xml:space="preserve">+63 927 555 9344</t>
  </si>
  <si>
    <t xml:space="preserve">R023</t>
  </si>
  <si>
    <t xml:space="preserve">BHG-10088</t>
  </si>
  <si>
    <t xml:space="preserve">cathy.flores@example.com</t>
  </si>
  <si>
    <t xml:space="preserve">+63 920 555 4882</t>
  </si>
  <si>
    <t xml:space="preserve">R073, R116</t>
  </si>
  <si>
    <t xml:space="preserve">BHG-10089</t>
  </si>
  <si>
    <t xml:space="preserve">ella.roxas@example.net</t>
  </si>
  <si>
    <t xml:space="preserve">+63 917 555 4872</t>
  </si>
  <si>
    <t xml:space="preserve">R033</t>
  </si>
  <si>
    <t xml:space="preserve">BHG-10090</t>
  </si>
  <si>
    <t xml:space="preserve">queenie.ilagan@example.com</t>
  </si>
  <si>
    <t xml:space="preserve">+63 939 555 9211</t>
  </si>
  <si>
    <t xml:space="preserve">R188</t>
  </si>
  <si>
    <t xml:space="preserve">BHG-10091</t>
  </si>
  <si>
    <t xml:space="preserve">irene.evangelista@example.org</t>
  </si>
  <si>
    <t xml:space="preserve">+63 920 555 8110</t>
  </si>
  <si>
    <t xml:space="preserve">R255</t>
  </si>
  <si>
    <t xml:space="preserve">BHG-10092</t>
  </si>
  <si>
    <t xml:space="preserve">joy.dimaculangan@example.net</t>
  </si>
  <si>
    <t xml:space="preserve">+63 977 555 9905</t>
  </si>
  <si>
    <t xml:space="preserve">R225</t>
  </si>
  <si>
    <t xml:space="preserve">BHG-10093</t>
  </si>
  <si>
    <t xml:space="preserve">Ursula</t>
  </si>
  <si>
    <t xml:space="preserve">Aguilar</t>
  </si>
  <si>
    <t xml:space="preserve">ursula.aguilar@example.net</t>
  </si>
  <si>
    <t xml:space="preserve">+63 954 555 5789</t>
  </si>
  <si>
    <t xml:space="preserve">R030, R152</t>
  </si>
  <si>
    <t xml:space="preserve">BHG-10094</t>
  </si>
  <si>
    <t xml:space="preserve">Nelia</t>
  </si>
  <si>
    <t xml:space="preserve">Bernal</t>
  </si>
  <si>
    <t xml:space="preserve">nelia.bernal@example.net</t>
  </si>
  <si>
    <t xml:space="preserve">+63 918 555 4892</t>
  </si>
  <si>
    <t xml:space="preserve">R050</t>
  </si>
  <si>
    <t xml:space="preserve">BHG-10095</t>
  </si>
  <si>
    <t xml:space="preserve">+63 928 555 3589</t>
  </si>
  <si>
    <t xml:space="preserve">R171</t>
  </si>
  <si>
    <t xml:space="preserve">BHG-10096</t>
  </si>
  <si>
    <t xml:space="preserve">sarah.soriano@example.net</t>
  </si>
  <si>
    <t xml:space="preserve">+63 927 555 3394</t>
  </si>
  <si>
    <t xml:space="preserve">R017, R186</t>
  </si>
  <si>
    <t xml:space="preserve">BHG-10097</t>
  </si>
  <si>
    <t xml:space="preserve">sarah.hidalgo@example.com</t>
  </si>
  <si>
    <t xml:space="preserve">+63 954 555 7452</t>
  </si>
  <si>
    <t xml:space="preserve">R008</t>
  </si>
  <si>
    <t xml:space="preserve">BHG-10098</t>
  </si>
  <si>
    <t xml:space="preserve">Gutierrez</t>
  </si>
  <si>
    <t xml:space="preserve">marvin.gutierrez@example.com</t>
  </si>
  <si>
    <t xml:space="preserve">+63 920 555 7351</t>
  </si>
  <si>
    <t xml:space="preserve">R077</t>
  </si>
  <si>
    <t xml:space="preserve">BHG-10099</t>
  </si>
  <si>
    <t xml:space="preserve">Hector</t>
  </si>
  <si>
    <t xml:space="preserve">Ordonez</t>
  </si>
  <si>
    <t xml:space="preserve">hector.ordonez@example.com</t>
  </si>
  <si>
    <t xml:space="preserve">+63 919 555 4423</t>
  </si>
  <si>
    <t xml:space="preserve">R124</t>
  </si>
  <si>
    <t xml:space="preserve">BHG-10100</t>
  </si>
  <si>
    <t xml:space="preserve">scabrera22@example.net</t>
  </si>
  <si>
    <t xml:space="preserve">+63 954 555 7486</t>
  </si>
  <si>
    <t xml:space="preserve">R062</t>
  </si>
  <si>
    <t xml:space="preserve">BHG-10101</t>
  </si>
  <si>
    <t xml:space="preserve">precious.roxas@example.net</t>
  </si>
  <si>
    <t xml:space="preserve">+63 954 555 8500</t>
  </si>
  <si>
    <t xml:space="preserve">R024</t>
  </si>
  <si>
    <t xml:space="preserve">BHG-10102</t>
  </si>
  <si>
    <t xml:space="preserve">Cyril</t>
  </si>
  <si>
    <t xml:space="preserve">cyril.mendoza@example.com</t>
  </si>
  <si>
    <t xml:space="preserve">+63 927 555 8919</t>
  </si>
  <si>
    <t xml:space="preserve">R089, R176, R220</t>
  </si>
  <si>
    <t xml:space="preserve">BHG-10103</t>
  </si>
  <si>
    <t xml:space="preserve">ocortez73@example.net</t>
  </si>
  <si>
    <t xml:space="preserve">+63 939 555 5191</t>
  </si>
  <si>
    <t xml:space="preserve">R092, R156, R211</t>
  </si>
  <si>
    <t xml:space="preserve">BHG-10104</t>
  </si>
  <si>
    <t xml:space="preserve">elmer.tolentino@example.com</t>
  </si>
  <si>
    <t xml:space="preserve">+63 939 555 6594</t>
  </si>
  <si>
    <t xml:space="preserve">R036, R250</t>
  </si>
  <si>
    <t xml:space="preserve">BHG-10105</t>
  </si>
  <si>
    <t xml:space="preserve">patrick.zamora@example.com</t>
  </si>
  <si>
    <t xml:space="preserve">+63 918 555 5999</t>
  </si>
  <si>
    <t xml:space="preserve">R076, R170, R235</t>
  </si>
  <si>
    <t xml:space="preserve">BHG-10106</t>
  </si>
  <si>
    <t xml:space="preserve">fritz.villanueva@example.com</t>
  </si>
  <si>
    <t xml:space="preserve">+63 939 555 0400</t>
  </si>
  <si>
    <t xml:space="preserve">R070</t>
  </si>
  <si>
    <t xml:space="preserve">BHG-10107</t>
  </si>
  <si>
    <t xml:space="preserve">Belmonte</t>
  </si>
  <si>
    <t xml:space="preserve">aira.belmonte@mail.example.com</t>
  </si>
  <si>
    <t xml:space="preserve">+63 917 555 0158</t>
  </si>
  <si>
    <t xml:space="preserve">R090</t>
  </si>
  <si>
    <t xml:space="preserve">BHG-10108</t>
  </si>
  <si>
    <t xml:space="preserve">patrick.valdez@example.net</t>
  </si>
  <si>
    <t xml:space="preserve">+63 998 555 5222</t>
  </si>
  <si>
    <t xml:space="preserve">R122</t>
  </si>
  <si>
    <t xml:space="preserve">BHG-10109</t>
  </si>
  <si>
    <t xml:space="preserve">mordonez7@mail.example.com</t>
  </si>
  <si>
    <t xml:space="preserve">+63 919 555 3651</t>
  </si>
  <si>
    <t xml:space="preserve">R084</t>
  </si>
  <si>
    <t xml:space="preserve">BHG-10110</t>
  </si>
  <si>
    <t xml:space="preserve">Yna</t>
  </si>
  <si>
    <t xml:space="preserve">ysoriano55@example.net</t>
  </si>
  <si>
    <t xml:space="preserve">+63 998 555 7564</t>
  </si>
  <si>
    <t xml:space="preserve">R096, R241</t>
  </si>
  <si>
    <t xml:space="preserve">BHG-10111</t>
  </si>
  <si>
    <t xml:space="preserve">Bea</t>
  </si>
  <si>
    <t xml:space="preserve">Tamayo</t>
  </si>
  <si>
    <t xml:space="preserve">bea.tamayo@example.com</t>
  </si>
  <si>
    <t xml:space="preserve">+63 928 555 6937</t>
  </si>
  <si>
    <t xml:space="preserve">R254</t>
  </si>
  <si>
    <t xml:space="preserve">BHG-10112</t>
  </si>
  <si>
    <t xml:space="preserve">Hazel</t>
  </si>
  <si>
    <t xml:space="preserve">+63 920 555 3395</t>
  </si>
  <si>
    <t xml:space="preserve">R265</t>
  </si>
  <si>
    <t xml:space="preserve">BHG-10113</t>
  </si>
  <si>
    <t xml:space="preserve">eencarnacion73@example.com</t>
  </si>
  <si>
    <t xml:space="preserve">+63 954 555 4918</t>
  </si>
  <si>
    <t xml:space="preserve">R209</t>
  </si>
  <si>
    <t xml:space="preserve">BHG-10114</t>
  </si>
  <si>
    <t xml:space="preserve">hannah.galang@example.net</t>
  </si>
  <si>
    <t xml:space="preserve">+63 954 555 8277</t>
  </si>
  <si>
    <t xml:space="preserve">R147, R268</t>
  </si>
  <si>
    <t xml:space="preserve">BHG-10115</t>
  </si>
  <si>
    <t xml:space="preserve">Dan</t>
  </si>
  <si>
    <t xml:space="preserve">dcruz15@example.com</t>
  </si>
  <si>
    <t xml:space="preserve">+63 995 555 7400</t>
  </si>
  <si>
    <t xml:space="preserve">R160</t>
  </si>
  <si>
    <t xml:space="preserve">BHG-10116</t>
  </si>
  <si>
    <t xml:space="preserve">Alvin</t>
  </si>
  <si>
    <t xml:space="preserve">alvin.vergara@mail.example.com</t>
  </si>
  <si>
    <t xml:space="preserve">+63 961 555 0464</t>
  </si>
  <si>
    <t xml:space="preserve">R105, R162, R236</t>
  </si>
  <si>
    <t xml:space="preserve">BHG-10117</t>
  </si>
  <si>
    <t xml:space="preserve">hector.vergara@mail.example.com</t>
  </si>
  <si>
    <t xml:space="preserve">+63 961 555 5217</t>
  </si>
  <si>
    <t xml:space="preserve">R142</t>
  </si>
  <si>
    <t xml:space="preserve">BHG-10118</t>
  </si>
  <si>
    <t xml:space="preserve">xander.briones@example.com</t>
  </si>
  <si>
    <t xml:space="preserve">+63 977 555 3671</t>
  </si>
  <si>
    <t xml:space="preserve">R189</t>
  </si>
  <si>
    <t xml:space="preserve">BHG-10119</t>
  </si>
  <si>
    <t xml:space="preserve">Liza</t>
  </si>
  <si>
    <t xml:space="preserve">liza.cabrera@example.com</t>
  </si>
  <si>
    <t xml:space="preserve">+63 954 555 0408</t>
  </si>
  <si>
    <t xml:space="preserve">R151, R217</t>
  </si>
  <si>
    <t xml:space="preserve">BHG-10120</t>
  </si>
  <si>
    <t xml:space="preserve">Abad</t>
  </si>
  <si>
    <t xml:space="preserve">bea.abad@example.net</t>
  </si>
  <si>
    <t xml:space="preserve">+63 918 555 6044</t>
  </si>
  <si>
    <t xml:space="preserve">R068</t>
  </si>
  <si>
    <t xml:space="preserve">BHG-10121</t>
  </si>
  <si>
    <t xml:space="preserve">elacson58@example.com</t>
  </si>
  <si>
    <t xml:space="preserve">+63 954 555 5659</t>
  </si>
  <si>
    <t xml:space="preserve">R202</t>
  </si>
  <si>
    <t xml:space="preserve">BHG-10122</t>
  </si>
  <si>
    <t xml:space="preserve">Ana</t>
  </si>
  <si>
    <t xml:space="preserve">ana.cruz@mail.example.com</t>
  </si>
  <si>
    <t xml:space="preserve">+63 919 555 9232</t>
  </si>
  <si>
    <t xml:space="preserve">R071</t>
  </si>
  <si>
    <t xml:space="preserve">BHG-10123</t>
  </si>
  <si>
    <t xml:space="preserve">Robles</t>
  </si>
  <si>
    <t xml:space="preserve">gio.robles@example.net</t>
  </si>
  <si>
    <t xml:space="preserve">+63 927 555 9957</t>
  </si>
  <si>
    <t xml:space="preserve">R016</t>
  </si>
  <si>
    <t xml:space="preserve">BHG-10124</t>
  </si>
  <si>
    <t xml:space="preserve">Yap</t>
  </si>
  <si>
    <t xml:space="preserve">dan.yap@example.net</t>
  </si>
  <si>
    <t xml:space="preserve">+63 945 555 1875</t>
  </si>
  <si>
    <t xml:space="preserve">R119</t>
  </si>
  <si>
    <t xml:space="preserve">BHG-10125</t>
  </si>
  <si>
    <t xml:space="preserve">Dela Cruz</t>
  </si>
  <si>
    <t xml:space="preserve">alvin.delacruz@example.com</t>
  </si>
  <si>
    <t xml:space="preserve">+63 995 555 7735</t>
  </si>
  <si>
    <t xml:space="preserve">R117</t>
  </si>
  <si>
    <t xml:space="preserve">BHG-10126</t>
  </si>
  <si>
    <t xml:space="preserve">Ramon</t>
  </si>
  <si>
    <t xml:space="preserve">ramon.galang@example.org</t>
  </si>
  <si>
    <t xml:space="preserve">+63 998 555 4430</t>
  </si>
  <si>
    <t xml:space="preserve">R085, R179</t>
  </si>
  <si>
    <t xml:space="preserve">BHG-10127</t>
  </si>
  <si>
    <t xml:space="preserve">Bryan</t>
  </si>
  <si>
    <t xml:space="preserve">bryan.cruz@example.com</t>
  </si>
  <si>
    <t xml:space="preserve">+63 939 555 0317</t>
  </si>
  <si>
    <t xml:space="preserve">R060, R135</t>
  </si>
  <si>
    <t xml:space="preserve">BHG-10128</t>
  </si>
  <si>
    <t xml:space="preserve">jessa.encarnacion@example.com</t>
  </si>
  <si>
    <t xml:space="preserve">+63 928 555 8102</t>
  </si>
  <si>
    <t xml:space="preserve">R140, R233</t>
  </si>
  <si>
    <t xml:space="preserve">BHG-10129</t>
  </si>
  <si>
    <t xml:space="preserve">Leo</t>
  </si>
  <si>
    <t xml:space="preserve">leo.roxas@example.com</t>
  </si>
  <si>
    <t xml:space="preserve">+63 945 555 0239</t>
  </si>
  <si>
    <t xml:space="preserve">R100</t>
  </si>
  <si>
    <t xml:space="preserve">BHG-10130</t>
  </si>
  <si>
    <t xml:space="preserve">lignacio89@example.com</t>
  </si>
  <si>
    <t xml:space="preserve">+63 977 555 1775</t>
  </si>
  <si>
    <t xml:space="preserve">R079</t>
  </si>
  <si>
    <t xml:space="preserve">BHG-10131</t>
  </si>
  <si>
    <t xml:space="preserve">Tonette</t>
  </si>
  <si>
    <t xml:space="preserve">tonette.castillo@example.com</t>
  </si>
  <si>
    <t xml:space="preserve">+63 928 555 4774</t>
  </si>
  <si>
    <t xml:space="preserve">R004</t>
  </si>
  <si>
    <t xml:space="preserve">BHG-10132</t>
  </si>
  <si>
    <t xml:space="preserve">tonette.dimaculangan@example.com</t>
  </si>
  <si>
    <t xml:space="preserve">+63 920 555 1697</t>
  </si>
  <si>
    <t xml:space="preserve">R177</t>
  </si>
  <si>
    <t xml:space="preserve">BHG-10133</t>
  </si>
  <si>
    <t xml:space="preserve">mia.zamora@example.net</t>
  </si>
  <si>
    <t xml:space="preserve">+63 961 555 2792</t>
  </si>
  <si>
    <t xml:space="preserve">R099</t>
  </si>
  <si>
    <t xml:space="preserve">BHG-10134</t>
  </si>
  <si>
    <t xml:space="preserve">mark.pascual@example.net</t>
  </si>
  <si>
    <t xml:space="preserve">+63 945 555 6863</t>
  </si>
  <si>
    <t xml:space="preserve">R190, R259</t>
  </si>
  <si>
    <t xml:space="preserve">BHG-10135</t>
  </si>
  <si>
    <t xml:space="preserve">+63 961 555 9952</t>
  </si>
  <si>
    <t xml:space="preserve">R262</t>
  </si>
  <si>
    <t xml:space="preserve">BHG-10136</t>
  </si>
  <si>
    <t xml:space="preserve">Venus</t>
  </si>
  <si>
    <t xml:space="preserve">venus.chua@example.com</t>
  </si>
  <si>
    <t xml:space="preserve">+63 961 555 7854</t>
  </si>
  <si>
    <t xml:space="preserve">R106</t>
  </si>
  <si>
    <t xml:space="preserve">BHG-10137</t>
  </si>
  <si>
    <t xml:space="preserve">wendy.cortez@example.com</t>
  </si>
  <si>
    <t xml:space="preserve">+63 977 555 9537</t>
  </si>
  <si>
    <t xml:space="preserve">R021, R153, R231</t>
  </si>
  <si>
    <t xml:space="preserve">BHG-10138</t>
  </si>
  <si>
    <t xml:space="preserve">Rosales</t>
  </si>
  <si>
    <t xml:space="preserve">flor.rosales@example.net</t>
  </si>
  <si>
    <t xml:space="preserve">+63 961 555 1499</t>
  </si>
  <si>
    <t xml:space="preserve">R083, R194</t>
  </si>
  <si>
    <t xml:space="preserve">BHG-10139</t>
  </si>
  <si>
    <t xml:space="preserve">+63 917 555 0248</t>
  </si>
  <si>
    <t xml:space="preserve">R248</t>
  </si>
  <si>
    <t xml:space="preserve">BHG-10140</t>
  </si>
  <si>
    <t xml:space="preserve">tonette.manalo@example.com</t>
  </si>
  <si>
    <t xml:space="preserve">+63 939 555 4852</t>
  </si>
  <si>
    <t xml:space="preserve">R095</t>
  </si>
  <si>
    <t xml:space="preserve">BHG-10141</t>
  </si>
  <si>
    <t xml:space="preserve">rafael.magno@example.com</t>
  </si>
  <si>
    <t xml:space="preserve">+63 928 555 1113</t>
  </si>
  <si>
    <t xml:space="preserve">R054</t>
  </si>
  <si>
    <t xml:space="preserve">BHG-10142</t>
  </si>
  <si>
    <t xml:space="preserve">lencarnacion54@mail.example.com</t>
  </si>
  <si>
    <t xml:space="preserve">+63 995 555 1330</t>
  </si>
  <si>
    <t xml:space="preserve">R136</t>
  </si>
  <si>
    <t xml:space="preserve">BHG-10143</t>
  </si>
  <si>
    <t xml:space="preserve">bernadette.obsuna@example.com</t>
  </si>
  <si>
    <t xml:space="preserve">+63 918 555 8217</t>
  </si>
  <si>
    <t xml:space="preserve">R239</t>
  </si>
  <si>
    <t xml:space="preserve">BHG-10144</t>
  </si>
  <si>
    <t xml:space="preserve">ronald.delacruz@example.com</t>
  </si>
  <si>
    <t xml:space="preserve">+63 961 555 0859</t>
  </si>
  <si>
    <t xml:space="preserve">R206</t>
  </si>
  <si>
    <t xml:space="preserve">BHG-10145</t>
  </si>
  <si>
    <t xml:space="preserve">leo.santiago@mail.example.com</t>
  </si>
  <si>
    <t xml:space="preserve">+63 998 555 7073</t>
  </si>
  <si>
    <t xml:space="preserve">R066, R261</t>
  </si>
  <si>
    <t xml:space="preserve">BHG-10146</t>
  </si>
  <si>
    <t xml:space="preserve">+63 998 555 7652</t>
  </si>
  <si>
    <t xml:space="preserve">R133</t>
  </si>
  <si>
    <t xml:space="preserve">BHG-10147</t>
  </si>
  <si>
    <t xml:space="preserve">lvaldez94@example.org</t>
  </si>
  <si>
    <t xml:space="preserve">+63 927 555 2161</t>
  </si>
  <si>
    <t xml:space="preserve">R011, R168</t>
  </si>
  <si>
    <t xml:space="preserve">BHG-10148</t>
  </si>
  <si>
    <t xml:space="preserve">pauline.evangelista@example.com</t>
  </si>
  <si>
    <t xml:space="preserve">+63 998 555 6008</t>
  </si>
  <si>
    <t xml:space="preserve">R056</t>
  </si>
  <si>
    <t xml:space="preserve">BHG-10149</t>
  </si>
  <si>
    <t xml:space="preserve">Ramos</t>
  </si>
  <si>
    <t xml:space="preserve">mramos71@example.com</t>
  </si>
  <si>
    <t xml:space="preserve">+63 939 555 2959</t>
  </si>
  <si>
    <t xml:space="preserve">R057</t>
  </si>
  <si>
    <t xml:space="preserve">BHG-10150</t>
  </si>
  <si>
    <t xml:space="preserve">Katigbak</t>
  </si>
  <si>
    <t xml:space="preserve">flor.katigbak@example.com</t>
  </si>
  <si>
    <t xml:space="preserve">+63 945 555 5461</t>
  </si>
  <si>
    <t xml:space="preserve">R193</t>
  </si>
  <si>
    <t xml:space="preserve">BHG-10151</t>
  </si>
  <si>
    <t xml:space="preserve">irene.roxas@example.com</t>
  </si>
  <si>
    <t xml:space="preserve">+63 977 555 9373</t>
  </si>
  <si>
    <t xml:space="preserve">R087</t>
  </si>
  <si>
    <t xml:space="preserve">BHG-10152</t>
  </si>
  <si>
    <t xml:space="preserve">miguel.soriano@example.com</t>
  </si>
  <si>
    <t xml:space="preserve">+63 977 555 8871</t>
  </si>
  <si>
    <t xml:space="preserve">R175</t>
  </si>
  <si>
    <t xml:space="preserve">BHG-10153</t>
  </si>
  <si>
    <t xml:space="preserve">Nepomuceno</t>
  </si>
  <si>
    <t xml:space="preserve">liza.nepomuceno@example.net</t>
  </si>
  <si>
    <t xml:space="preserve">+63 954 555 0350</t>
  </si>
  <si>
    <t xml:space="preserve">R067</t>
  </si>
  <si>
    <t xml:space="preserve">BHG-10154</t>
  </si>
  <si>
    <t xml:space="preserve">zaldy.ordonez@example.com</t>
  </si>
  <si>
    <t xml:space="preserve">+63 977 555 0593</t>
  </si>
  <si>
    <t xml:space="preserve">R020, R108</t>
  </si>
  <si>
    <t xml:space="preserve">BHG-10155</t>
  </si>
  <si>
    <t xml:space="preserve">Ubaldo</t>
  </si>
  <si>
    <t xml:space="preserve">rubaldo31@example.com</t>
  </si>
  <si>
    <t xml:space="preserve">+63 961 555 2079</t>
  </si>
  <si>
    <t xml:space="preserve">R022</t>
  </si>
  <si>
    <t xml:space="preserve">BHG-10156</t>
  </si>
  <si>
    <t xml:space="preserve">rencarnacion73@example.com</t>
  </si>
  <si>
    <t xml:space="preserve">+63 945 555 5342</t>
  </si>
  <si>
    <t xml:space="preserve">R098</t>
  </si>
  <si>
    <t xml:space="preserve">BHG-10157</t>
  </si>
  <si>
    <t xml:space="preserve">Imelda</t>
  </si>
  <si>
    <t xml:space="preserve">+63 927 555 0523</t>
  </si>
  <si>
    <t xml:space="preserve">R210</t>
  </si>
  <si>
    <t xml:space="preserve">BHG-10158</t>
  </si>
  <si>
    <t xml:space="preserve">ivan.panganiban@example.com</t>
  </si>
  <si>
    <t xml:space="preserve">+63 939 555 7181</t>
  </si>
  <si>
    <t xml:space="preserve">R051</t>
  </si>
  <si>
    <t xml:space="preserve">BHG-10159</t>
  </si>
  <si>
    <t xml:space="preserve">Bianca</t>
  </si>
  <si>
    <t xml:space="preserve">bianca.tolentino@example.net</t>
  </si>
  <si>
    <t xml:space="preserve">+63 945 555 8231</t>
  </si>
  <si>
    <t xml:space="preserve">R267</t>
  </si>
  <si>
    <t xml:space="preserve">BHG-10160</t>
  </si>
  <si>
    <t xml:space="preserve">kevin.magno@example.com</t>
  </si>
  <si>
    <t xml:space="preserve">+63 977 555 5530</t>
  </si>
  <si>
    <t xml:space="preserve">R104, R144</t>
  </si>
  <si>
    <t xml:space="preserve">BHG-10161</t>
  </si>
  <si>
    <t xml:space="preserve">Lester</t>
  </si>
  <si>
    <t xml:space="preserve">lester.reyes@mail.example.com</t>
  </si>
  <si>
    <t xml:space="preserve">+63 927 555 9935</t>
  </si>
  <si>
    <t xml:space="preserve">R088</t>
  </si>
  <si>
    <t xml:space="preserve">BHG-10162</t>
  </si>
  <si>
    <t xml:space="preserve">nelia.lualhati@example.com</t>
  </si>
  <si>
    <t xml:space="preserve">+63 920 555 6633</t>
  </si>
  <si>
    <t xml:space="preserve">R065</t>
  </si>
  <si>
    <t xml:space="preserve">BHG-10163</t>
  </si>
  <si>
    <t xml:space="preserve">hzamora70@example.org</t>
  </si>
  <si>
    <t xml:space="preserve">R205</t>
  </si>
  <si>
    <t xml:space="preserve">BHG-10164</t>
  </si>
  <si>
    <t xml:space="preserve">liza.vergara@example.org</t>
  </si>
  <si>
    <t xml:space="preserve">+63 917 555 8967</t>
  </si>
  <si>
    <t xml:space="preserve">R191, R234</t>
  </si>
  <si>
    <t xml:space="preserve">BHG-10165</t>
  </si>
  <si>
    <t xml:space="preserve">Aquino</t>
  </si>
  <si>
    <t xml:space="preserve">pauline.aquino@example.com</t>
  </si>
  <si>
    <t xml:space="preserve">+63 995 555 2232</t>
  </si>
  <si>
    <t xml:space="preserve">R064</t>
  </si>
  <si>
    <t xml:space="preserve">BHG-10166</t>
  </si>
  <si>
    <t xml:space="preserve">Vic</t>
  </si>
  <si>
    <t xml:space="preserve">vic.rosales@example.com</t>
  </si>
  <si>
    <t xml:space="preserve">+63 939 555 4499</t>
  </si>
  <si>
    <t xml:space="preserve">R081, R174</t>
  </si>
  <si>
    <t xml:space="preserve">BHG-10167</t>
  </si>
  <si>
    <t xml:space="preserve">fritz.soriano@example.com</t>
  </si>
  <si>
    <t xml:space="preserve">+63 998 555 8820</t>
  </si>
  <si>
    <t xml:space="preserve">R046</t>
  </si>
  <si>
    <t xml:space="preserve">BHG-10168</t>
  </si>
  <si>
    <t xml:space="preserve">vdomingo75@mail.example.com</t>
  </si>
  <si>
    <t xml:space="preserve">+63 995 555 1470</t>
  </si>
  <si>
    <t xml:space="preserve">R035, R198</t>
  </si>
  <si>
    <t xml:space="preserve">BHG-10169</t>
  </si>
  <si>
    <t xml:space="preserve">erika.yap@example.com</t>
  </si>
  <si>
    <t xml:space="preserve">+63 995 555 6049</t>
  </si>
  <si>
    <t xml:space="preserve">R164, R222</t>
  </si>
  <si>
    <t xml:space="preserve">BHG-10170</t>
  </si>
  <si>
    <t xml:space="preserve">olive.tolentino@example.com</t>
  </si>
  <si>
    <t xml:space="preserve">+63 918 555 9211</t>
  </si>
  <si>
    <t xml:space="preserve">R232, R240</t>
  </si>
  <si>
    <t xml:space="preserve">BHG-10171</t>
  </si>
  <si>
    <t xml:space="preserve">clara.flores@example.com</t>
  </si>
  <si>
    <t xml:space="preserve">+63 919 555 5118</t>
  </si>
  <si>
    <t xml:space="preserve">R223</t>
  </si>
  <si>
    <t xml:space="preserve">BHG-10172</t>
  </si>
  <si>
    <t xml:space="preserve">Kim</t>
  </si>
  <si>
    <t xml:space="preserve">kim.aguilar@example.com</t>
  </si>
  <si>
    <t xml:space="preserve">+63 961 555 5500</t>
  </si>
  <si>
    <t xml:space="preserve">R143</t>
  </si>
  <si>
    <t xml:space="preserve">BHG-10173</t>
  </si>
  <si>
    <t xml:space="preserve">zaldy.katigbak@example.net</t>
  </si>
  <si>
    <t xml:space="preserve">+63 939 555 3566</t>
  </si>
  <si>
    <t xml:space="preserve">R195</t>
  </si>
  <si>
    <t xml:space="preserve">BHG-10174</t>
  </si>
  <si>
    <t xml:space="preserve">Agbayani</t>
  </si>
  <si>
    <t xml:space="preserve">cedric.agbayani@example.com</t>
  </si>
  <si>
    <t xml:space="preserve">+63 927 555 5498</t>
  </si>
  <si>
    <t xml:space="preserve">R165</t>
  </si>
  <si>
    <t xml:space="preserve">BHG-10175</t>
  </si>
  <si>
    <t xml:space="preserve">Janelle</t>
  </si>
  <si>
    <t xml:space="preserve">Velasco</t>
  </si>
  <si>
    <t xml:space="preserve">janelle.velasco@mail.example.com</t>
  </si>
  <si>
    <t xml:space="preserve">+63 995 555 0519</t>
  </si>
  <si>
    <t xml:space="preserve">R149</t>
  </si>
  <si>
    <t xml:space="preserve">BHG-10176</t>
  </si>
  <si>
    <t xml:space="preserve">Bautista</t>
  </si>
  <si>
    <t xml:space="preserve">gio.bautista@example.com</t>
  </si>
  <si>
    <t xml:space="preserve">+63 945 555 6816</t>
  </si>
  <si>
    <t xml:space="preserve">R103</t>
  </si>
  <si>
    <t xml:space="preserve">BHG-10177</t>
  </si>
  <si>
    <t xml:space="preserve">lara.santos@example.net</t>
  </si>
  <si>
    <t xml:space="preserve">+63 961 555 7829</t>
  </si>
  <si>
    <t xml:space="preserve">R053</t>
  </si>
  <si>
    <t xml:space="preserve">BHG-10178</t>
  </si>
  <si>
    <t xml:space="preserve">lara.dimaculangan@example.com</t>
  </si>
  <si>
    <t xml:space="preserve">+63 920 555 3100</t>
  </si>
  <si>
    <t xml:space="preserve">R059, R166, R266</t>
  </si>
  <si>
    <t xml:space="preserve">BHG-10179</t>
  </si>
  <si>
    <t xml:space="preserve">Jimenez</t>
  </si>
  <si>
    <t xml:space="preserve">vjimenez65@example.com</t>
  </si>
  <si>
    <t xml:space="preserve">+63 939 555 2705</t>
  </si>
  <si>
    <t xml:space="preserve">R013</t>
  </si>
  <si>
    <t xml:space="preserve">BHG-10180</t>
  </si>
  <si>
    <t xml:space="preserve">nico.vergara@example.net</t>
  </si>
  <si>
    <t xml:space="preserve">+63 918 555 4141</t>
  </si>
  <si>
    <t xml:space="preserve">R101, R132, R247</t>
  </si>
  <si>
    <t xml:space="preserve">BHG-10181</t>
  </si>
  <si>
    <t xml:space="preserve">pdimaculangan91@example.net</t>
  </si>
  <si>
    <t xml:space="preserve">+63 927 555 4721</t>
  </si>
  <si>
    <t xml:space="preserve">R058</t>
  </si>
  <si>
    <t xml:space="preserve">BHG-10182</t>
  </si>
  <si>
    <t xml:space="preserve">rafael.rosales@example.com</t>
  </si>
  <si>
    <t xml:space="preserve">+63 945 555 2236</t>
  </si>
  <si>
    <t xml:space="preserve">R178</t>
  </si>
  <si>
    <t xml:space="preserve">BHG-10183</t>
  </si>
  <si>
    <t xml:space="preserve">nico.cruz@example.com</t>
  </si>
  <si>
    <t xml:space="preserve">+63 961 555 7374</t>
  </si>
  <si>
    <t xml:space="preserve">R221</t>
  </si>
  <si>
    <t xml:space="preserve">BHG-10184</t>
  </si>
  <si>
    <t xml:space="preserve">gerald.salazar@example.net</t>
  </si>
  <si>
    <t xml:space="preserve">+63 919 555 3247</t>
  </si>
  <si>
    <t xml:space="preserve">R113</t>
  </si>
  <si>
    <t xml:space="preserve">BHG-10185</t>
  </si>
  <si>
    <t xml:space="preserve">snavarro86@example.net</t>
  </si>
  <si>
    <t xml:space="preserve">+63 917 555 4228</t>
  </si>
  <si>
    <t xml:space="preserve">R128</t>
  </si>
  <si>
    <t xml:space="preserve">BHG-10186</t>
  </si>
  <si>
    <t xml:space="preserve">mtolentino22@example.com</t>
  </si>
  <si>
    <t xml:space="preserve">+63 920 555 3274</t>
  </si>
  <si>
    <t xml:space="preserve">R074</t>
  </si>
  <si>
    <t xml:space="preserve">BHG-10187</t>
  </si>
  <si>
    <t xml:space="preserve">rey.morales@example.com</t>
  </si>
  <si>
    <t xml:space="preserve">+63 917 555 8652</t>
  </si>
  <si>
    <t xml:space="preserve">R212</t>
  </si>
  <si>
    <t xml:space="preserve">BHG-10188</t>
  </si>
  <si>
    <t xml:space="preserve">ivan.yap@example.net</t>
  </si>
  <si>
    <t xml:space="preserve">+63 961 555 1233</t>
  </si>
  <si>
    <t xml:space="preserve">R041</t>
  </si>
  <si>
    <t xml:space="preserve">BHG-10189</t>
  </si>
  <si>
    <t xml:space="preserve">+63 961 555 1469</t>
  </si>
  <si>
    <t xml:space="preserve">R181</t>
  </si>
  <si>
    <t xml:space="preserve">BHG-10190</t>
  </si>
  <si>
    <t xml:space="preserve">rbriones86@example.net</t>
  </si>
  <si>
    <t xml:space="preserve">+63 917 555 1913</t>
  </si>
  <si>
    <t xml:space="preserve">R215</t>
  </si>
  <si>
    <t xml:space="preserve">BHG-10191</t>
  </si>
  <si>
    <t xml:space="preserve">wendy.obsuna@example.net</t>
  </si>
  <si>
    <t xml:space="preserve">+63 917 555 1735</t>
  </si>
  <si>
    <t xml:space="preserve">R238, R260</t>
  </si>
  <si>
    <t xml:space="preserve">BHG-10192</t>
  </si>
  <si>
    <t xml:space="preserve">liza.rivera@example.com</t>
  </si>
  <si>
    <t xml:space="preserve">+63 920 555 5838</t>
  </si>
  <si>
    <t xml:space="preserve">R187, R199</t>
  </si>
  <si>
    <t xml:space="preserve">BHG-10193</t>
  </si>
  <si>
    <t xml:space="preserve">hannah.ocampo@example.net</t>
  </si>
  <si>
    <t xml:space="preserve">+63 945 555 1293</t>
  </si>
  <si>
    <t xml:space="preserve">R111, R249</t>
  </si>
  <si>
    <t xml:space="preserve">BHG-10194</t>
  </si>
  <si>
    <t xml:space="preserve">Ben</t>
  </si>
  <si>
    <t xml:space="preserve">ben.castillo@example.com</t>
  </si>
  <si>
    <t xml:space="preserve">+63 945 555 9269</t>
  </si>
  <si>
    <t xml:space="preserve">R121</t>
  </si>
  <si>
    <t xml:space="preserve">BHG-10195</t>
  </si>
  <si>
    <t xml:space="preserve">Gelo</t>
  </si>
  <si>
    <t xml:space="preserve">gelo.chua@example.com</t>
  </si>
  <si>
    <t xml:space="preserve">+63 954 555 4378</t>
  </si>
  <si>
    <t xml:space="preserve">R139</t>
  </si>
  <si>
    <t xml:space="preserve">BHG-10196</t>
  </si>
  <si>
    <t xml:space="preserve">dmorales55@mail.example.com</t>
  </si>
  <si>
    <t xml:space="preserve">+63 917 555 6173</t>
  </si>
  <si>
    <t xml:space="preserve">R207</t>
  </si>
  <si>
    <t xml:space="preserve">BHG-10197</t>
  </si>
  <si>
    <t xml:space="preserve">marites.ordonez@example.net</t>
  </si>
  <si>
    <t xml:space="preserve">+63 995 555 9934</t>
  </si>
  <si>
    <t xml:space="preserve">R263</t>
  </si>
  <si>
    <t xml:space="preserve">BHG-10198</t>
  </si>
  <si>
    <t xml:space="preserve">Herrera</t>
  </si>
  <si>
    <t xml:space="preserve">cathy.herrera@example.org</t>
  </si>
  <si>
    <t xml:space="preserve">+63 928 555 9655</t>
  </si>
  <si>
    <t xml:space="preserve">R138</t>
  </si>
  <si>
    <t xml:space="preserve">BHG-10199</t>
  </si>
  <si>
    <t xml:space="preserve">pauline.gonzales@example.net</t>
  </si>
  <si>
    <t xml:space="preserve">+63 977 555 1667</t>
  </si>
  <si>
    <t xml:space="preserve">R044</t>
  </si>
  <si>
    <t xml:space="preserve">BHG-10200</t>
  </si>
  <si>
    <t xml:space="preserve">sam.belmonte@example.org</t>
  </si>
  <si>
    <t xml:space="preserve">+63 945 555 4298</t>
  </si>
  <si>
    <t xml:space="preserve">R196</t>
  </si>
  <si>
    <t xml:space="preserve">BHG-10201</t>
  </si>
  <si>
    <t xml:space="preserve">zaldy.ubaldo@example.com</t>
  </si>
  <si>
    <t xml:space="preserve">+63 927 555 4239</t>
  </si>
  <si>
    <t xml:space="preserve">R093, R173</t>
  </si>
  <si>
    <t xml:space="preserve">BHG-10202</t>
  </si>
  <si>
    <t xml:space="preserve">mia.encarnacion@example.com</t>
  </si>
  <si>
    <t xml:space="preserve">+63 939 555 5704</t>
  </si>
  <si>
    <t xml:space="preserve">R141</t>
  </si>
  <si>
    <t xml:space="preserve">BHG-10203</t>
  </si>
  <si>
    <t xml:space="preserve">ycabrera43@example.com</t>
  </si>
  <si>
    <t xml:space="preserve">+63 917 555 1504</t>
  </si>
  <si>
    <t xml:space="preserve">R218</t>
  </si>
  <si>
    <t xml:space="preserve">BHG-10204</t>
  </si>
  <si>
    <t xml:space="preserve">yna.encarnacion@example.com</t>
  </si>
  <si>
    <t xml:space="preserve">+63 945 555 1557</t>
  </si>
  <si>
    <t xml:space="preserve">R213</t>
  </si>
  <si>
    <t xml:space="preserve">BHG-10205</t>
  </si>
  <si>
    <t xml:space="preserve">Marquez</t>
  </si>
  <si>
    <t xml:space="preserve">dolor.marquez@example.com</t>
  </si>
  <si>
    <t xml:space="preserve">+63 977 555 6111</t>
  </si>
  <si>
    <t xml:space="preserve">R038</t>
  </si>
  <si>
    <t xml:space="preserve">BHG-10206</t>
  </si>
  <si>
    <t xml:space="preserve">bea.torres@example.net</t>
  </si>
  <si>
    <t xml:space="preserve">+63 945 555 3117</t>
  </si>
  <si>
    <t xml:space="preserve">R163</t>
  </si>
  <si>
    <t xml:space="preserve">Raw Row</t>
  </si>
  <si>
    <t xml:space="preserve">Source Ref</t>
  </si>
  <si>
    <t xml:space="preserve">Full Name</t>
  </si>
  <si>
    <t xml:space="preserve">Marketing Consent</t>
  </si>
  <si>
    <t xml:space="preserve">WEB-20413</t>
  </si>
  <si>
    <t xml:space="preserve">  Cathy  Villanueva </t>
  </si>
  <si>
    <t xml:space="preserve">09195559670</t>
  </si>
  <si>
    <t xml:space="preserve">IRIGA CITY</t>
  </si>
  <si>
    <t xml:space="preserve">2024-03-06</t>
  </si>
  <si>
    <t xml:space="preserve">2026-07-18</t>
  </si>
  <si>
    <t xml:space="preserve">3</t>
  </si>
  <si>
    <t xml:space="preserve">4350.00</t>
  </si>
  <si>
    <t xml:space="preserve">TRUE</t>
  </si>
  <si>
    <t xml:space="preserve">WEB-20415</t>
  </si>
  <si>
    <t xml:space="preserve">Tristan Sison</t>
  </si>
  <si>
    <t xml:space="preserve">09545551403</t>
  </si>
  <si>
    <t xml:space="preserve">2023-09-14</t>
  </si>
  <si>
    <t xml:space="preserve">2026-09-21</t>
  </si>
  <si>
    <t xml:space="preserve">22</t>
  </si>
  <si>
    <t xml:space="preserve">28050.00</t>
  </si>
  <si>
    <t xml:space="preserve">WEB-20418</t>
  </si>
  <si>
    <t xml:space="preserve">Edwin Valdez</t>
  </si>
  <si>
    <t xml:space="preserve">09285554401</t>
  </si>
  <si>
    <t xml:space="preserve">2023-09-07</t>
  </si>
  <si>
    <t xml:space="preserve">2026-06-21</t>
  </si>
  <si>
    <t xml:space="preserve">14</t>
  </si>
  <si>
    <t xml:space="preserve">22620.00</t>
  </si>
  <si>
    <t xml:space="preserve">WEB-20419</t>
  </si>
  <si>
    <t xml:space="preserve">Tonette Castillo</t>
  </si>
  <si>
    <t xml:space="preserve">09285554774</t>
  </si>
  <si>
    <t xml:space="preserve">2024-12-10</t>
  </si>
  <si>
    <t xml:space="preserve">2026-02-03</t>
  </si>
  <si>
    <t xml:space="preserve">2</t>
  </si>
  <si>
    <t xml:space="preserve">1770.00</t>
  </si>
  <si>
    <t xml:space="preserve">FALSE</t>
  </si>
  <si>
    <t xml:space="preserve">R005</t>
  </si>
  <si>
    <t xml:space="preserve">WEB-20422</t>
  </si>
  <si>
    <t xml:space="preserve">Jomar Cruz</t>
  </si>
  <si>
    <t xml:space="preserve">09175554023</t>
  </si>
  <si>
    <t xml:space="preserve">CAM. SUR</t>
  </si>
  <si>
    <t xml:space="preserve">2023-06-16</t>
  </si>
  <si>
    <t xml:space="preserve">2024-05-27</t>
  </si>
  <si>
    <t xml:space="preserve">1</t>
  </si>
  <si>
    <t xml:space="preserve">1780.00</t>
  </si>
  <si>
    <t xml:space="preserve">R006</t>
  </si>
  <si>
    <t xml:space="preserve">WEB-20423</t>
  </si>
  <si>
    <t xml:space="preserve">  Miguel  Cruz </t>
  </si>
  <si>
    <t xml:space="preserve">+639195556778</t>
  </si>
  <si>
    <t xml:space="preserve">VIRAC</t>
  </si>
  <si>
    <t xml:space="preserve">2025-02-19</t>
  </si>
  <si>
    <t xml:space="preserve">2026-07-19</t>
  </si>
  <si>
    <t xml:space="preserve">6</t>
  </si>
  <si>
    <t xml:space="preserve">11070.00</t>
  </si>
  <si>
    <t xml:space="preserve">R007</t>
  </si>
  <si>
    <t xml:space="preserve">WEB-20425</t>
  </si>
  <si>
    <t xml:space="preserve">Tess Manalo</t>
  </si>
  <si>
    <t xml:space="preserve"> Tess.manalo@mail.example.com</t>
  </si>
  <si>
    <t xml:space="preserve">masbate</t>
  </si>
  <si>
    <t xml:space="preserve">2024-02-21</t>
  </si>
  <si>
    <t xml:space="preserve">2025-02-15</t>
  </si>
  <si>
    <t xml:space="preserve">23</t>
  </si>
  <si>
    <t xml:space="preserve">35990.00</t>
  </si>
  <si>
    <t xml:space="preserve">WEB-20429</t>
  </si>
  <si>
    <t xml:space="preserve">  Sarah  Hidalgo </t>
  </si>
  <si>
    <t xml:space="preserve">CamSur</t>
  </si>
  <si>
    <t xml:space="preserve">2024-05-26</t>
  </si>
  <si>
    <t xml:space="preserve">2026-08-24</t>
  </si>
  <si>
    <t xml:space="preserve">7</t>
  </si>
  <si>
    <t xml:space="preserve">5830.00</t>
  </si>
  <si>
    <t xml:space="preserve">R009</t>
  </si>
  <si>
    <t xml:space="preserve">WEB-20433</t>
  </si>
  <si>
    <t xml:space="preserve">Pauline Cruz</t>
  </si>
  <si>
    <t xml:space="preserve">pauline.cruz@exmaple.com</t>
  </si>
  <si>
    <t xml:space="preserve">+639985558552</t>
  </si>
  <si>
    <t xml:space="preserve">NAGA</t>
  </si>
  <si>
    <t xml:space="preserve">Cam Sur</t>
  </si>
  <si>
    <t xml:space="preserve">2023-07-15</t>
  </si>
  <si>
    <t xml:space="preserve">920.00</t>
  </si>
  <si>
    <t xml:space="preserve">WEB-20434</t>
  </si>
  <si>
    <t xml:space="preserve">Clara Lualhati</t>
  </si>
  <si>
    <t xml:space="preserve">09545552028</t>
  </si>
  <si>
    <t xml:space="preserve">legaspi city</t>
  </si>
  <si>
    <t xml:space="preserve">2024-02-23</t>
  </si>
  <si>
    <t xml:space="preserve">2026-06-12</t>
  </si>
  <si>
    <t xml:space="preserve">11</t>
  </si>
  <si>
    <t xml:space="preserve">19740.00</t>
  </si>
  <si>
    <t xml:space="preserve">R011</t>
  </si>
  <si>
    <t xml:space="preserve">WEB-20438</t>
  </si>
  <si>
    <t xml:space="preserve">Leo Valdez</t>
  </si>
  <si>
    <t xml:space="preserve">09275552161</t>
  </si>
  <si>
    <t xml:space="preserve">BUHI</t>
  </si>
  <si>
    <t xml:space="preserve">2025-06-20</t>
  </si>
  <si>
    <t xml:space="preserve">3290.00</t>
  </si>
  <si>
    <t xml:space="preserve">WEB-20441</t>
  </si>
  <si>
    <t xml:space="preserve">Lorna Uy</t>
  </si>
  <si>
    <t xml:space="preserve">+639185558023</t>
  </si>
  <si>
    <t xml:space="preserve">naga city</t>
  </si>
  <si>
    <t xml:space="preserve">2024-01-18</t>
  </si>
  <si>
    <t xml:space="preserve">2025-10-05</t>
  </si>
  <si>
    <t xml:space="preserve">2850.00</t>
  </si>
  <si>
    <t xml:space="preserve">WEB-20444</t>
  </si>
  <si>
    <t xml:space="preserve">Vic Jimenez</t>
  </si>
  <si>
    <t xml:space="preserve">+639395552705</t>
  </si>
  <si>
    <t xml:space="preserve">Naga city</t>
  </si>
  <si>
    <t xml:space="preserve">2026-02-26</t>
  </si>
  <si>
    <t xml:space="preserve">2026-09-04</t>
  </si>
  <si>
    <t xml:space="preserve">13</t>
  </si>
  <si>
    <t xml:space="preserve">11360.00</t>
  </si>
  <si>
    <t xml:space="preserve">WEB-20446</t>
  </si>
  <si>
    <t xml:space="preserve">Gerald Santos</t>
  </si>
  <si>
    <t xml:space="preserve">+639955554394</t>
  </si>
  <si>
    <t xml:space="preserve">2023-12-13</t>
  </si>
  <si>
    <t xml:space="preserve">2025-01-30</t>
  </si>
  <si>
    <t xml:space="preserve">3250.00</t>
  </si>
  <si>
    <t xml:space="preserve">R015</t>
  </si>
  <si>
    <t xml:space="preserve">WEB-20449</t>
  </si>
  <si>
    <t xml:space="preserve">Cedric Fernandez</t>
  </si>
  <si>
    <t xml:space="preserve">09955556077</t>
  </si>
  <si>
    <t xml:space="preserve">albay</t>
  </si>
  <si>
    <t xml:space="preserve">2023-06-19</t>
  </si>
  <si>
    <t xml:space="preserve">2024-09-27</t>
  </si>
  <si>
    <t xml:space="preserve">13300.00</t>
  </si>
  <si>
    <t xml:space="preserve">WEB-20453</t>
  </si>
  <si>
    <t xml:space="preserve">GIO ROBLES</t>
  </si>
  <si>
    <t xml:space="preserve">2024-11-08</t>
  </si>
  <si>
    <t xml:space="preserve">2026-07-10</t>
  </si>
  <si>
    <t xml:space="preserve">5</t>
  </si>
  <si>
    <t xml:space="preserve">8520.00</t>
  </si>
  <si>
    <t xml:space="preserve">R017</t>
  </si>
  <si>
    <t xml:space="preserve">WEB-20457</t>
  </si>
  <si>
    <t xml:space="preserve">  Sarah  Soriano </t>
  </si>
  <si>
    <t xml:space="preserve">2025-04-20</t>
  </si>
  <si>
    <t xml:space="preserve">2026-06-17</t>
  </si>
  <si>
    <t xml:space="preserve">6880.00</t>
  </si>
  <si>
    <t xml:space="preserve">WEB-20460</t>
  </si>
  <si>
    <t xml:space="preserve">Joy Padilla</t>
  </si>
  <si>
    <t xml:space="preserve">+639175556115</t>
  </si>
  <si>
    <t xml:space="preserve">DARAGA</t>
  </si>
  <si>
    <t xml:space="preserve">ALBAY</t>
  </si>
  <si>
    <t xml:space="preserve">2024-02-14</t>
  </si>
  <si>
    <t xml:space="preserve">2025-07-28</t>
  </si>
  <si>
    <t xml:space="preserve">3400.00</t>
  </si>
  <si>
    <t xml:space="preserve">WEB-20463</t>
  </si>
  <si>
    <t xml:space="preserve">Precious Briones</t>
  </si>
  <si>
    <t xml:space="preserve">pbriones89@example.com </t>
  </si>
  <si>
    <t xml:space="preserve">camarines sur</t>
  </si>
  <si>
    <t xml:space="preserve">2023-04-30</t>
  </si>
  <si>
    <t xml:space="preserve">2024-06-03</t>
  </si>
  <si>
    <t xml:space="preserve">2010.00</t>
  </si>
  <si>
    <t xml:space="preserve">R020</t>
  </si>
  <si>
    <t xml:space="preserve">WEB-20466</t>
  </si>
  <si>
    <t xml:space="preserve">Zaldy Ordonez</t>
  </si>
  <si>
    <t xml:space="preserve">+639775550593</t>
  </si>
  <si>
    <t xml:space="preserve">2025-04-25</t>
  </si>
  <si>
    <t xml:space="preserve">2025-12-25</t>
  </si>
  <si>
    <t xml:space="preserve">6380.00</t>
  </si>
  <si>
    <t xml:space="preserve">R021</t>
  </si>
  <si>
    <t xml:space="preserve">WEB-20470</t>
  </si>
  <si>
    <t xml:space="preserve">WENDY CORTEZ</t>
  </si>
  <si>
    <t xml:space="preserve">catanduanes</t>
  </si>
  <si>
    <t xml:space="preserve">2025-01-08</t>
  </si>
  <si>
    <t xml:space="preserve">2025-05-14</t>
  </si>
  <si>
    <t xml:space="preserve">1650.00</t>
  </si>
  <si>
    <t xml:space="preserve">WEB-20474</t>
  </si>
  <si>
    <t xml:space="preserve">Rafael Ubaldo</t>
  </si>
  <si>
    <t xml:space="preserve">09615552079</t>
  </si>
  <si>
    <t xml:space="preserve">2025-05-04</t>
  </si>
  <si>
    <t xml:space="preserve">2025-11-21</t>
  </si>
  <si>
    <t xml:space="preserve">4280.00</t>
  </si>
  <si>
    <t xml:space="preserve">WEB-20475</t>
  </si>
  <si>
    <t xml:space="preserve">Mark Magno</t>
  </si>
  <si>
    <t xml:space="preserve">09275559344</t>
  </si>
  <si>
    <t xml:space="preserve">2024-04-11</t>
  </si>
  <si>
    <t xml:space="preserve">2024-04-29</t>
  </si>
  <si>
    <t xml:space="preserve">4</t>
  </si>
  <si>
    <t xml:space="preserve">2760.00</t>
  </si>
  <si>
    <t xml:space="preserve">WEB-20478</t>
  </si>
  <si>
    <t xml:space="preserve">  Precious  Roxas </t>
  </si>
  <si>
    <t xml:space="preserve"> Precious.roxas@example.net</t>
  </si>
  <si>
    <t xml:space="preserve">09545558500</t>
  </si>
  <si>
    <t xml:space="preserve">2024-07-06</t>
  </si>
  <si>
    <t xml:space="preserve">2026-04-17</t>
  </si>
  <si>
    <t xml:space="preserve">12</t>
  </si>
  <si>
    <t xml:space="preserve">20510.00</t>
  </si>
  <si>
    <t xml:space="preserve">WEB-20482</t>
  </si>
  <si>
    <t xml:space="preserve">Jessa Santos</t>
  </si>
  <si>
    <t xml:space="preserve"> Jessa.santos@example.com</t>
  </si>
  <si>
    <t xml:space="preserve">2024-03-05</t>
  </si>
  <si>
    <t xml:space="preserve">21140.00</t>
  </si>
  <si>
    <t xml:space="preserve">R026</t>
  </si>
  <si>
    <t xml:space="preserve">WEB-20484</t>
  </si>
  <si>
    <t xml:space="preserve">  Teddy  Torres </t>
  </si>
  <si>
    <t xml:space="preserve">09395555147</t>
  </si>
  <si>
    <t xml:space="preserve">2024-03-15</t>
  </si>
  <si>
    <t xml:space="preserve">2024-06-27</t>
  </si>
  <si>
    <t xml:space="preserve">1880.00</t>
  </si>
  <si>
    <t xml:space="preserve">R027</t>
  </si>
  <si>
    <t xml:space="preserve">WEB-20485</t>
  </si>
  <si>
    <t xml:space="preserve">Kristine Castillo</t>
  </si>
  <si>
    <t xml:space="preserve">09545555696</t>
  </si>
  <si>
    <t xml:space="preserve">Tabaco</t>
  </si>
  <si>
    <t xml:space="preserve">2024-03-19</t>
  </si>
  <si>
    <t xml:space="preserve">2025-02-16</t>
  </si>
  <si>
    <t xml:space="preserve">2950.00</t>
  </si>
  <si>
    <t xml:space="preserve">WEB-20486</t>
  </si>
  <si>
    <t xml:space="preserve">Zaldy Obsuna</t>
  </si>
  <si>
    <t xml:space="preserve">+639615551192</t>
  </si>
  <si>
    <t xml:space="preserve">2023-10-07</t>
  </si>
  <si>
    <t xml:space="preserve">2026-06-04</t>
  </si>
  <si>
    <t xml:space="preserve">17</t>
  </si>
  <si>
    <t xml:space="preserve">21010.00</t>
  </si>
  <si>
    <t xml:space="preserve">WEB-20490</t>
  </si>
  <si>
    <t xml:space="preserve">Nina Hidalgo</t>
  </si>
  <si>
    <t xml:space="preserve">09775554270</t>
  </si>
  <si>
    <t xml:space="preserve">2023-06-27</t>
  </si>
  <si>
    <t xml:space="preserve">2023-08-22</t>
  </si>
  <si>
    <t xml:space="preserve">6080.00</t>
  </si>
  <si>
    <t xml:space="preserve">R030</t>
  </si>
  <si>
    <t xml:space="preserve">WEB-20494</t>
  </si>
  <si>
    <t xml:space="preserve">Ursula Aguilar</t>
  </si>
  <si>
    <t xml:space="preserve">2025-04-27</t>
  </si>
  <si>
    <t xml:space="preserve">2026-07-08</t>
  </si>
  <si>
    <t xml:space="preserve">3420.00</t>
  </si>
  <si>
    <t xml:space="preserve">WEB-20497</t>
  </si>
  <si>
    <t xml:space="preserve">Rey Vergara</t>
  </si>
  <si>
    <t xml:space="preserve">+639615559883</t>
  </si>
  <si>
    <t xml:space="preserve">2023-11-01</t>
  </si>
  <si>
    <t xml:space="preserve">2026-09-14</t>
  </si>
  <si>
    <t xml:space="preserve">8010.00</t>
  </si>
  <si>
    <t xml:space="preserve">R032</t>
  </si>
  <si>
    <t xml:space="preserve">WEB-20500</t>
  </si>
  <si>
    <t xml:space="preserve">Tin Ilagan</t>
  </si>
  <si>
    <t xml:space="preserve">Albay </t>
  </si>
  <si>
    <t xml:space="preserve">2024-05-11</t>
  </si>
  <si>
    <t xml:space="preserve">2024-07-27</t>
  </si>
  <si>
    <t xml:space="preserve">3600.00</t>
  </si>
  <si>
    <t xml:space="preserve">WEB-20501</t>
  </si>
  <si>
    <t xml:space="preserve">Ella Roxas</t>
  </si>
  <si>
    <t xml:space="preserve">09175554872</t>
  </si>
  <si>
    <t xml:space="preserve">NAGA CITY </t>
  </si>
  <si>
    <t xml:space="preserve">2024-04-16</t>
  </si>
  <si>
    <t xml:space="preserve">20</t>
  </si>
  <si>
    <t xml:space="preserve">21880.00</t>
  </si>
  <si>
    <t xml:space="preserve">WEB-20503</t>
  </si>
  <si>
    <t xml:space="preserve">Patrick Magno</t>
  </si>
  <si>
    <t xml:space="preserve">2023-12-05</t>
  </si>
  <si>
    <t xml:space="preserve">31</t>
  </si>
  <si>
    <t xml:space="preserve">35150.00</t>
  </si>
  <si>
    <t xml:space="preserve">R035</t>
  </si>
  <si>
    <t xml:space="preserve">WEB-20506</t>
  </si>
  <si>
    <t xml:space="preserve">Vince Domingo</t>
  </si>
  <si>
    <t xml:space="preserve">+639955551470</t>
  </si>
  <si>
    <t xml:space="preserve">2025-08-25</t>
  </si>
  <si>
    <t xml:space="preserve">2025-12-20</t>
  </si>
  <si>
    <t xml:space="preserve">2960.00</t>
  </si>
  <si>
    <t xml:space="preserve">R036</t>
  </si>
  <si>
    <t xml:space="preserve">WEB-20510</t>
  </si>
  <si>
    <t xml:space="preserve">Elmer Tolentino</t>
  </si>
  <si>
    <t xml:space="preserve">+639395556594</t>
  </si>
  <si>
    <t xml:space="preserve">2024-11-12</t>
  </si>
  <si>
    <t xml:space="preserve">2025-04-09</t>
  </si>
  <si>
    <t xml:space="preserve">5500.00</t>
  </si>
  <si>
    <t xml:space="preserve">R037</t>
  </si>
  <si>
    <t xml:space="preserve">WEB-20512</t>
  </si>
  <si>
    <t xml:space="preserve">TESS TORRES</t>
  </si>
  <si>
    <t xml:space="preserve"> Tess.torres@mail.example.com</t>
  </si>
  <si>
    <t xml:space="preserve">+639615558712</t>
  </si>
  <si>
    <t xml:space="preserve">daet </t>
  </si>
  <si>
    <t xml:space="preserve">2024-10-26</t>
  </si>
  <si>
    <t xml:space="preserve">2025-12-31</t>
  </si>
  <si>
    <t xml:space="preserve">900.00</t>
  </si>
  <si>
    <t xml:space="preserve">WEB-20515</t>
  </si>
  <si>
    <t xml:space="preserve">  Dolor  Marquez </t>
  </si>
  <si>
    <t xml:space="preserve">Legazpi</t>
  </si>
  <si>
    <t xml:space="preserve">2026-09-25</t>
  </si>
  <si>
    <t xml:space="preserve">5560.00</t>
  </si>
  <si>
    <t xml:space="preserve">R039</t>
  </si>
  <si>
    <t xml:space="preserve">WEB-20516</t>
  </si>
  <si>
    <t xml:space="preserve">WEB-20519</t>
  </si>
  <si>
    <t xml:space="preserve">TRISTAN MORALES</t>
  </si>
  <si>
    <t xml:space="preserve">+639985556749</t>
  </si>
  <si>
    <t xml:space="preserve">2023-09-06</t>
  </si>
  <si>
    <t xml:space="preserve">2025-10-25</t>
  </si>
  <si>
    <t xml:space="preserve">8</t>
  </si>
  <si>
    <t xml:space="preserve">5520.00</t>
  </si>
  <si>
    <t xml:space="preserve">WEB-20522</t>
  </si>
  <si>
    <t xml:space="preserve">Ivan Yap</t>
  </si>
  <si>
    <t xml:space="preserve">2026-07-31</t>
  </si>
  <si>
    <t xml:space="preserve">880.00</t>
  </si>
  <si>
    <t xml:space="preserve">WEB-20524</t>
  </si>
  <si>
    <t xml:space="preserve">Kevin Zamora</t>
  </si>
  <si>
    <t xml:space="preserve">SORSOGON</t>
  </si>
  <si>
    <t xml:space="preserve">2024-04-09</t>
  </si>
  <si>
    <t xml:space="preserve">2025-06-19</t>
  </si>
  <si>
    <t xml:space="preserve">3800.00</t>
  </si>
  <si>
    <t xml:space="preserve">WEB-20528</t>
  </si>
  <si>
    <t xml:space="preserve">Fritz Reyes</t>
  </si>
  <si>
    <t xml:space="preserve">FRITZ.REYES@EXAMPLE.COM</t>
  </si>
  <si>
    <t xml:space="preserve">2024-03-24</t>
  </si>
  <si>
    <t xml:space="preserve">2026-03-18</t>
  </si>
  <si>
    <t xml:space="preserve">6910.00</t>
  </si>
  <si>
    <t xml:space="preserve">WEB-20530</t>
  </si>
  <si>
    <t xml:space="preserve">PAULINE GONZALES</t>
  </si>
  <si>
    <t xml:space="preserve">+639775551667</t>
  </si>
  <si>
    <t xml:space="preserve">2026-08-30</t>
  </si>
  <si>
    <t xml:space="preserve">2026-09-12</t>
  </si>
  <si>
    <t xml:space="preserve">3360.00</t>
  </si>
  <si>
    <t xml:space="preserve">WEB-20532</t>
  </si>
  <si>
    <t xml:space="preserve">Gio Garcia</t>
  </si>
  <si>
    <t xml:space="preserve">09985555135</t>
  </si>
  <si>
    <t xml:space="preserve">2023-05-30</t>
  </si>
  <si>
    <t xml:space="preserve">2024-06-20</t>
  </si>
  <si>
    <t xml:space="preserve">3200.00</t>
  </si>
  <si>
    <t xml:space="preserve">WEB-20535</t>
  </si>
  <si>
    <t xml:space="preserve">Fritz Soriano</t>
  </si>
  <si>
    <t xml:space="preserve">+639985558820</t>
  </si>
  <si>
    <t xml:space="preserve">2025-08-12</t>
  </si>
  <si>
    <t xml:space="preserve">2026-09-02</t>
  </si>
  <si>
    <t xml:space="preserve">2180.00</t>
  </si>
  <si>
    <t xml:space="preserve">R047</t>
  </si>
  <si>
    <t xml:space="preserve">WEB-20536</t>
  </si>
  <si>
    <t xml:space="preserve">Zaldy Morales</t>
  </si>
  <si>
    <t xml:space="preserve">+639775556014</t>
  </si>
  <si>
    <t xml:space="preserve">2025-01-23</t>
  </si>
  <si>
    <t xml:space="preserve">2026-06-28</t>
  </si>
  <si>
    <t xml:space="preserve">2190.00</t>
  </si>
  <si>
    <t xml:space="preserve">WEB-20540</t>
  </si>
  <si>
    <t xml:space="preserve">Hannah Chua</t>
  </si>
  <si>
    <t xml:space="preserve">hannah.chua@exmaple.com</t>
  </si>
  <si>
    <t xml:space="preserve">09985552644</t>
  </si>
  <si>
    <t xml:space="preserve">2024-02-18</t>
  </si>
  <si>
    <t xml:space="preserve">2025-11-13</t>
  </si>
  <si>
    <t xml:space="preserve">4780.00</t>
  </si>
  <si>
    <t xml:space="preserve">R049</t>
  </si>
  <si>
    <t xml:space="preserve">WEB-20542</t>
  </si>
  <si>
    <t xml:space="preserve">ERIKA FRANCISCO</t>
  </si>
  <si>
    <t xml:space="preserve"> Erika.francisco@example.org</t>
  </si>
  <si>
    <t xml:space="preserve">2023-07-27</t>
  </si>
  <si>
    <t xml:space="preserve">2025-03-17</t>
  </si>
  <si>
    <t xml:space="preserve">1940.00</t>
  </si>
  <si>
    <t xml:space="preserve">WEB-20544</t>
  </si>
  <si>
    <t xml:space="preserve">Nelia Bernal</t>
  </si>
  <si>
    <t xml:space="preserve">+639185554892</t>
  </si>
  <si>
    <t xml:space="preserve">2024-05-06</t>
  </si>
  <si>
    <t xml:space="preserve">2024-08-01</t>
  </si>
  <si>
    <t xml:space="preserve">2240.00</t>
  </si>
  <si>
    <t xml:space="preserve">WEB-20548</t>
  </si>
  <si>
    <t xml:space="preserve">Ivan Panganiban</t>
  </si>
  <si>
    <t xml:space="preserve">09395557181</t>
  </si>
  <si>
    <t xml:space="preserve">2025-06-06</t>
  </si>
  <si>
    <t xml:space="preserve">8300.00</t>
  </si>
  <si>
    <t xml:space="preserve">WEB-20550</t>
  </si>
  <si>
    <t xml:space="preserve">Gemma Padilla</t>
  </si>
  <si>
    <t xml:space="preserve">2023-05-15</t>
  </si>
  <si>
    <t xml:space="preserve">2024-10-09</t>
  </si>
  <si>
    <t xml:space="preserve">1480.00</t>
  </si>
  <si>
    <t xml:space="preserve">WEB-20553</t>
  </si>
  <si>
    <t xml:space="preserve">  Lara  Santos </t>
  </si>
  <si>
    <t xml:space="preserve">+639615557829</t>
  </si>
  <si>
    <t xml:space="preserve">2026-01-01</t>
  </si>
  <si>
    <t xml:space="preserve">2026-09-23</t>
  </si>
  <si>
    <t xml:space="preserve">4920.00</t>
  </si>
  <si>
    <t xml:space="preserve">WEB-20557</t>
  </si>
  <si>
    <t xml:space="preserve">Rafael Magno</t>
  </si>
  <si>
    <t xml:space="preserve">rafael.magno@example,com</t>
  </si>
  <si>
    <t xml:space="preserve">+639285551113</t>
  </si>
  <si>
    <t xml:space="preserve">2025-01-31</t>
  </si>
  <si>
    <t xml:space="preserve">2026-06-06</t>
  </si>
  <si>
    <t xml:space="preserve">7640.00</t>
  </si>
  <si>
    <t xml:space="preserve">R055</t>
  </si>
  <si>
    <t xml:space="preserve">WEB-20560</t>
  </si>
  <si>
    <t xml:space="preserve">JESSA MENDOZA</t>
  </si>
  <si>
    <t xml:space="preserve">+639775550698</t>
  </si>
  <si>
    <t xml:space="preserve">2024-02-10</t>
  </si>
  <si>
    <t xml:space="preserve">2025-01-25</t>
  </si>
  <si>
    <t xml:space="preserve">1280.00</t>
  </si>
  <si>
    <t xml:space="preserve">WEB-20563</t>
  </si>
  <si>
    <t xml:space="preserve">Pauline Evangelista</t>
  </si>
  <si>
    <t xml:space="preserve">2025-02-21</t>
  </si>
  <si>
    <t xml:space="preserve">2025-11-23</t>
  </si>
  <si>
    <t xml:space="preserve">2570.00</t>
  </si>
  <si>
    <t xml:space="preserve">WEB-20567</t>
  </si>
  <si>
    <t xml:space="preserve">Marvin Ramos</t>
  </si>
  <si>
    <t xml:space="preserve"> Mramos71@example.com</t>
  </si>
  <si>
    <t xml:space="preserve">pili</t>
  </si>
  <si>
    <t xml:space="preserve">2025-02-22</t>
  </si>
  <si>
    <t xml:space="preserve">2025-10-22</t>
  </si>
  <si>
    <t xml:space="preserve">6440.00</t>
  </si>
  <si>
    <t xml:space="preserve">WEB-20570</t>
  </si>
  <si>
    <t xml:space="preserve">Precious Dimaculangan</t>
  </si>
  <si>
    <t xml:space="preserve">+639275554721</t>
  </si>
  <si>
    <t xml:space="preserve">sorsogon</t>
  </si>
  <si>
    <t xml:space="preserve">2026-07-09</t>
  </si>
  <si>
    <t xml:space="preserve">2590.00</t>
  </si>
  <si>
    <t xml:space="preserve">R059</t>
  </si>
  <si>
    <t xml:space="preserve">WEB-20574</t>
  </si>
  <si>
    <t xml:space="preserve">Lara Dimaculangan</t>
  </si>
  <si>
    <t xml:space="preserve">09205553100</t>
  </si>
  <si>
    <t xml:space="preserve">MASBATE CITY</t>
  </si>
  <si>
    <t xml:space="preserve">2026-01-03</t>
  </si>
  <si>
    <t xml:space="preserve">2026-02-22</t>
  </si>
  <si>
    <t xml:space="preserve">5390.00</t>
  </si>
  <si>
    <t xml:space="preserve">R060</t>
  </si>
  <si>
    <t xml:space="preserve">WEB-20575</t>
  </si>
  <si>
    <t xml:space="preserve">Bryan Cruz</t>
  </si>
  <si>
    <t xml:space="preserve">bryan.cruz@example.com </t>
  </si>
  <si>
    <t xml:space="preserve">09395550317</t>
  </si>
  <si>
    <t xml:space="preserve">virac</t>
  </si>
  <si>
    <t xml:space="preserve">2024-11-16</t>
  </si>
  <si>
    <t xml:space="preserve">2025-07-17</t>
  </si>
  <si>
    <t xml:space="preserve">3230.00</t>
  </si>
  <si>
    <t xml:space="preserve">WEB-20579</t>
  </si>
  <si>
    <t xml:space="preserve">Marites Lualhati</t>
  </si>
  <si>
    <t xml:space="preserve">2023-11-26</t>
  </si>
  <si>
    <t xml:space="preserve">2026-08-19</t>
  </si>
  <si>
    <t xml:space="preserve">9</t>
  </si>
  <si>
    <t xml:space="preserve">7940.00</t>
  </si>
  <si>
    <t xml:space="preserve">WEB-20582</t>
  </si>
  <si>
    <t xml:space="preserve">Sarah Cabrera</t>
  </si>
  <si>
    <t xml:space="preserve">2024-07-03</t>
  </si>
  <si>
    <t xml:space="preserve">2024-11-03</t>
  </si>
  <si>
    <t xml:space="preserve">2290.00</t>
  </si>
  <si>
    <t xml:space="preserve">WEB-20586</t>
  </si>
  <si>
    <t xml:space="preserve">  Wendy  Tan </t>
  </si>
  <si>
    <t xml:space="preserve">wendy.tan@example.com </t>
  </si>
  <si>
    <t xml:space="preserve">09285553453</t>
  </si>
  <si>
    <t xml:space="preserve">2023-09-27</t>
  </si>
  <si>
    <t xml:space="preserve">2026-08-03</t>
  </si>
  <si>
    <t xml:space="preserve">7990.00</t>
  </si>
  <si>
    <t xml:space="preserve">WEB-20587</t>
  </si>
  <si>
    <t xml:space="preserve">Pauline Aquino</t>
  </si>
  <si>
    <t xml:space="preserve">PAULINE.AQUINO@EXAMPLE.COM</t>
  </si>
  <si>
    <t xml:space="preserve">+639955552232</t>
  </si>
  <si>
    <t xml:space="preserve">2025-08-02</t>
  </si>
  <si>
    <t xml:space="preserve">2026-05-21</t>
  </si>
  <si>
    <t xml:space="preserve">3220.00</t>
  </si>
  <si>
    <t xml:space="preserve">WEB-20589</t>
  </si>
  <si>
    <t xml:space="preserve">Nelia Lualhati</t>
  </si>
  <si>
    <t xml:space="preserve"> Nelia.lualhati@example.com</t>
  </si>
  <si>
    <t xml:space="preserve">LEGAZPI CITY</t>
  </si>
  <si>
    <t xml:space="preserve">2025-07-21</t>
  </si>
  <si>
    <t xml:space="preserve">2026-04-18</t>
  </si>
  <si>
    <t xml:space="preserve">R066</t>
  </si>
  <si>
    <t xml:space="preserve">WEB-20593</t>
  </si>
  <si>
    <t xml:space="preserve">Leo Santiago</t>
  </si>
  <si>
    <t xml:space="preserve">09985557073</t>
  </si>
  <si>
    <t xml:space="preserve">PILI</t>
  </si>
  <si>
    <t xml:space="preserve">2025-09-19</t>
  </si>
  <si>
    <t xml:space="preserve">18</t>
  </si>
  <si>
    <t xml:space="preserve">26850.00</t>
  </si>
  <si>
    <t xml:space="preserve">WEB-20594</t>
  </si>
  <si>
    <t xml:space="preserve">Liza Nepomuceno</t>
  </si>
  <si>
    <t xml:space="preserve">liza.nepomuceno@exmaple.net</t>
  </si>
  <si>
    <t xml:space="preserve">09545550350</t>
  </si>
  <si>
    <t xml:space="preserve">2025-04-16</t>
  </si>
  <si>
    <t xml:space="preserve">2026-08-06</t>
  </si>
  <si>
    <t xml:space="preserve">13280.00</t>
  </si>
  <si>
    <t xml:space="preserve">WEB-20597</t>
  </si>
  <si>
    <t xml:space="preserve">Bea Abad</t>
  </si>
  <si>
    <t xml:space="preserve">+639185556044</t>
  </si>
  <si>
    <t xml:space="preserve">2024-10-07</t>
  </si>
  <si>
    <t xml:space="preserve">2026-03-14</t>
  </si>
  <si>
    <t xml:space="preserve">9450.00</t>
  </si>
  <si>
    <t xml:space="preserve">WEB-20601</t>
  </si>
  <si>
    <t xml:space="preserve">Carlo Soriano</t>
  </si>
  <si>
    <t xml:space="preserve">09175553722</t>
  </si>
  <si>
    <t xml:space="preserve">daraga</t>
  </si>
  <si>
    <t xml:space="preserve">2023-06-14</t>
  </si>
  <si>
    <t xml:space="preserve">2026-08-12</t>
  </si>
  <si>
    <t xml:space="preserve">24</t>
  </si>
  <si>
    <t xml:space="preserve">38110.00</t>
  </si>
  <si>
    <t xml:space="preserve">WEB-20602</t>
  </si>
  <si>
    <t xml:space="preserve">  Fritz  Villanueva </t>
  </si>
  <si>
    <t xml:space="preserve">+639395550400</t>
  </si>
  <si>
    <t xml:space="preserve">2024-07-26</t>
  </si>
  <si>
    <t xml:space="preserve">2026-05-18</t>
  </si>
  <si>
    <t xml:space="preserve">14320.00</t>
  </si>
  <si>
    <t xml:space="preserve">WEB-20603</t>
  </si>
  <si>
    <t xml:space="preserve">Ana Cruz</t>
  </si>
  <si>
    <t xml:space="preserve">buhi</t>
  </si>
  <si>
    <t xml:space="preserve">2024-10-23</t>
  </si>
  <si>
    <t xml:space="preserve">2026-02-18</t>
  </si>
  <si>
    <t xml:space="preserve">5990.00</t>
  </si>
  <si>
    <t xml:space="preserve">R072</t>
  </si>
  <si>
    <t xml:space="preserve">WEB-20606</t>
  </si>
  <si>
    <t xml:space="preserve">Olive Lacson</t>
  </si>
  <si>
    <t xml:space="preserve">+639195550148</t>
  </si>
  <si>
    <t xml:space="preserve">CamNorte</t>
  </si>
  <si>
    <t xml:space="preserve">6450.00</t>
  </si>
  <si>
    <t xml:space="preserve">R073</t>
  </si>
  <si>
    <t xml:space="preserve">WEB-20607</t>
  </si>
  <si>
    <t xml:space="preserve">  Cathy  Flores </t>
  </si>
  <si>
    <t xml:space="preserve">cathy.flores@example.con</t>
  </si>
  <si>
    <t xml:space="preserve">2024-04-12</t>
  </si>
  <si>
    <t xml:space="preserve">2025-03-20</t>
  </si>
  <si>
    <t xml:space="preserve">11700.00</t>
  </si>
  <si>
    <t xml:space="preserve">WEB-20611</t>
  </si>
  <si>
    <t xml:space="preserve">Mark Tolentino</t>
  </si>
  <si>
    <t xml:space="preserve">+639205553274</t>
  </si>
  <si>
    <t xml:space="preserve">2026-07-28</t>
  </si>
  <si>
    <t xml:space="preserve">2890.00</t>
  </si>
  <si>
    <t xml:space="preserve">WEB-20615</t>
  </si>
  <si>
    <t xml:space="preserve">  Erika  Cortez </t>
  </si>
  <si>
    <t xml:space="preserve">ERIKA.CORTEZ@MAIL.EXAMPLE.COM</t>
  </si>
  <si>
    <t xml:space="preserve">2024-01-16</t>
  </si>
  <si>
    <t xml:space="preserve">2025-05-28</t>
  </si>
  <si>
    <t xml:space="preserve">7200.00</t>
  </si>
  <si>
    <t xml:space="preserve">R076</t>
  </si>
  <si>
    <t xml:space="preserve">WEB-20616</t>
  </si>
  <si>
    <t xml:space="preserve">Patrick Zamora</t>
  </si>
  <si>
    <t xml:space="preserve">2024-07-19</t>
  </si>
  <si>
    <t xml:space="preserve">2025-04-18</t>
  </si>
  <si>
    <t xml:space="preserve">8350.00</t>
  </si>
  <si>
    <t xml:space="preserve">WEB-20618</t>
  </si>
  <si>
    <t xml:space="preserve">  Marvin  Gutierrez </t>
  </si>
  <si>
    <t xml:space="preserve">+639205557351</t>
  </si>
  <si>
    <t xml:space="preserve">2024-05-28</t>
  </si>
  <si>
    <t xml:space="preserve">2026-09-16</t>
  </si>
  <si>
    <t xml:space="preserve">16</t>
  </si>
  <si>
    <t xml:space="preserve">26020.00</t>
  </si>
  <si>
    <t xml:space="preserve">WEB-20622</t>
  </si>
  <si>
    <t xml:space="preserve">ODETTE GONZALES</t>
  </si>
  <si>
    <t xml:space="preserve">11010.00</t>
  </si>
  <si>
    <t xml:space="preserve">WEB-20623</t>
  </si>
  <si>
    <t xml:space="preserve">Lorna Ignacio</t>
  </si>
  <si>
    <t xml:space="preserve">lignacio89@example.com </t>
  </si>
  <si>
    <t xml:space="preserve">09775551775</t>
  </si>
  <si>
    <t xml:space="preserve">2024-11-30</t>
  </si>
  <si>
    <t xml:space="preserve">2026-07-14</t>
  </si>
  <si>
    <t xml:space="preserve">29</t>
  </si>
  <si>
    <t xml:space="preserve">36600.00</t>
  </si>
  <si>
    <t xml:space="preserve">WEB-20624</t>
  </si>
  <si>
    <t xml:space="preserve">  Edwin  Encarnacion </t>
  </si>
  <si>
    <t xml:space="preserve">edwin.encarnacion@example.con</t>
  </si>
  <si>
    <t xml:space="preserve">2024-04-08</t>
  </si>
  <si>
    <t xml:space="preserve">2026-09-06</t>
  </si>
  <si>
    <t xml:space="preserve">42720.00</t>
  </si>
  <si>
    <t xml:space="preserve">R081</t>
  </si>
  <si>
    <t xml:space="preserve">WEB-20626</t>
  </si>
  <si>
    <t xml:space="preserve">Vic Rosales</t>
  </si>
  <si>
    <t xml:space="preserve">+639395554499</t>
  </si>
  <si>
    <t xml:space="preserve">2025-08-10</t>
  </si>
  <si>
    <t xml:space="preserve">2025-11-20</t>
  </si>
  <si>
    <t xml:space="preserve">3680.00</t>
  </si>
  <si>
    <t xml:space="preserve">R082</t>
  </si>
  <si>
    <t xml:space="preserve">WEB-20628</t>
  </si>
  <si>
    <t xml:space="preserve">Sam Ocampo</t>
  </si>
  <si>
    <t xml:space="preserve">+639195559762</t>
  </si>
  <si>
    <t xml:space="preserve">2024-02-27</t>
  </si>
  <si>
    <t xml:space="preserve">2025-01-28</t>
  </si>
  <si>
    <t xml:space="preserve">4610.00</t>
  </si>
  <si>
    <t xml:space="preserve">R083</t>
  </si>
  <si>
    <t xml:space="preserve">WEB-20631</t>
  </si>
  <si>
    <t xml:space="preserve">Flor Rosales</t>
  </si>
  <si>
    <t xml:space="preserve">2025-01-12</t>
  </si>
  <si>
    <t xml:space="preserve">2025-09-12</t>
  </si>
  <si>
    <t xml:space="preserve">4710.00</t>
  </si>
  <si>
    <t xml:space="preserve">WEB-20635</t>
  </si>
  <si>
    <t xml:space="preserve">  Mark  Ordonez </t>
  </si>
  <si>
    <t xml:space="preserve">09195553651</t>
  </si>
  <si>
    <t xml:space="preserve">2024-08-13</t>
  </si>
  <si>
    <t xml:space="preserve">2026-05-06</t>
  </si>
  <si>
    <t xml:space="preserve">5900.00</t>
  </si>
  <si>
    <t xml:space="preserve">R085</t>
  </si>
  <si>
    <t xml:space="preserve">WEB-20639</t>
  </si>
  <si>
    <t xml:space="preserve">Ramon Galang</t>
  </si>
  <si>
    <t xml:space="preserve">09985554430</t>
  </si>
  <si>
    <t xml:space="preserve">2025-06-21</t>
  </si>
  <si>
    <t xml:space="preserve">2026-03-20</t>
  </si>
  <si>
    <t xml:space="preserve">1440.00</t>
  </si>
  <si>
    <t xml:space="preserve">R086</t>
  </si>
  <si>
    <t xml:space="preserve">WEB-20642</t>
  </si>
  <si>
    <t xml:space="preserve">Jerome Ocampo</t>
  </si>
  <si>
    <t xml:space="preserve">+639275554463</t>
  </si>
  <si>
    <t xml:space="preserve">2023-08-16</t>
  </si>
  <si>
    <t xml:space="preserve">4730.00</t>
  </si>
  <si>
    <t xml:space="preserve">WEB-20643</t>
  </si>
  <si>
    <t xml:space="preserve">Irene Roxas</t>
  </si>
  <si>
    <t xml:space="preserve">+639775559373</t>
  </si>
  <si>
    <t xml:space="preserve">2025-03-26</t>
  </si>
  <si>
    <t xml:space="preserve">10</t>
  </si>
  <si>
    <t xml:space="preserve">6360.00</t>
  </si>
  <si>
    <t xml:space="preserve">WEB-20644</t>
  </si>
  <si>
    <t xml:space="preserve">Lester Reyes</t>
  </si>
  <si>
    <t xml:space="preserve">lester.reyes@mail.example.com </t>
  </si>
  <si>
    <t xml:space="preserve">+639275559935</t>
  </si>
  <si>
    <t xml:space="preserve">2025-07-20</t>
  </si>
  <si>
    <t xml:space="preserve">2026-07-22</t>
  </si>
  <si>
    <t xml:space="preserve">5030.00</t>
  </si>
  <si>
    <t xml:space="preserve">R089</t>
  </si>
  <si>
    <t xml:space="preserve">WEB-20647</t>
  </si>
  <si>
    <t xml:space="preserve">Cyril Mendoza</t>
  </si>
  <si>
    <t xml:space="preserve">2024-07-09</t>
  </si>
  <si>
    <t xml:space="preserve">WEB-20649</t>
  </si>
  <si>
    <t xml:space="preserve">Aira Belmonte</t>
  </si>
  <si>
    <t xml:space="preserve">AIRA.BELMONTE@MAIL.EXAMPLE.COM</t>
  </si>
  <si>
    <t xml:space="preserve">09175550158</t>
  </si>
  <si>
    <t xml:space="preserve">DAET</t>
  </si>
  <si>
    <t xml:space="preserve">2024-07-31</t>
  </si>
  <si>
    <t xml:space="preserve">960.00</t>
  </si>
  <si>
    <t xml:space="preserve">R091</t>
  </si>
  <si>
    <t xml:space="preserve">WEB-20653</t>
  </si>
  <si>
    <t xml:space="preserve">Erika Francisco</t>
  </si>
  <si>
    <t xml:space="preserve">09195554129</t>
  </si>
  <si>
    <t xml:space="preserve">R092</t>
  </si>
  <si>
    <t xml:space="preserve">WEB-20654</t>
  </si>
  <si>
    <t xml:space="preserve">Oscar Cortez</t>
  </si>
  <si>
    <t xml:space="preserve">09395555191</t>
  </si>
  <si>
    <t xml:space="preserve">2024-07-10</t>
  </si>
  <si>
    <t xml:space="preserve">2025-04-06</t>
  </si>
  <si>
    <t xml:space="preserve">3080.00</t>
  </si>
  <si>
    <t xml:space="preserve">R093</t>
  </si>
  <si>
    <t xml:space="preserve">WEB-20655</t>
  </si>
  <si>
    <t xml:space="preserve">Zaldy Ubaldo</t>
  </si>
  <si>
    <t xml:space="preserve">2026-09-05</t>
  </si>
  <si>
    <t xml:space="preserve">2026-09-07</t>
  </si>
  <si>
    <t xml:space="preserve">910.00</t>
  </si>
  <si>
    <t xml:space="preserve">WEB-20656</t>
  </si>
  <si>
    <t xml:space="preserve">Rodel Sison</t>
  </si>
  <si>
    <t xml:space="preserve">rodel.sison@example.nte</t>
  </si>
  <si>
    <t xml:space="preserve">09455552777</t>
  </si>
  <si>
    <t xml:space="preserve">2023-10-15</t>
  </si>
  <si>
    <t xml:space="preserve">2026-03-11</t>
  </si>
  <si>
    <t xml:space="preserve">7020.00</t>
  </si>
  <si>
    <t xml:space="preserve">WEB-20659</t>
  </si>
  <si>
    <t xml:space="preserve">Tonette Manalo</t>
  </si>
  <si>
    <t xml:space="preserve">tonette.manalo@example.com </t>
  </si>
  <si>
    <t xml:space="preserve">+639395554852</t>
  </si>
  <si>
    <t xml:space="preserve">2025-01-29</t>
  </si>
  <si>
    <t xml:space="preserve">2025-12-16</t>
  </si>
  <si>
    <t xml:space="preserve">9390.00</t>
  </si>
  <si>
    <t xml:space="preserve">R096</t>
  </si>
  <si>
    <t xml:space="preserve">WEB-20663</t>
  </si>
  <si>
    <t xml:space="preserve">Yna Soriano</t>
  </si>
  <si>
    <t xml:space="preserve">09985557564</t>
  </si>
  <si>
    <t xml:space="preserve">2025-03-03</t>
  </si>
  <si>
    <t xml:space="preserve">1240.00</t>
  </si>
  <si>
    <t xml:space="preserve">R097</t>
  </si>
  <si>
    <t xml:space="preserve">WEB-20667</t>
  </si>
  <si>
    <t xml:space="preserve">Cedric De Leon</t>
  </si>
  <si>
    <t xml:space="preserve">cedric.deleon@mail.exmaple.com</t>
  </si>
  <si>
    <t xml:space="preserve">2023-09-11</t>
  </si>
  <si>
    <t xml:space="preserve">2024-09-01</t>
  </si>
  <si>
    <t xml:space="preserve">4080.00</t>
  </si>
  <si>
    <t xml:space="preserve">WEB-20671</t>
  </si>
  <si>
    <t xml:space="preserve">  Rafael  Encarnacion </t>
  </si>
  <si>
    <t xml:space="preserve">09455555342</t>
  </si>
  <si>
    <t xml:space="preserve">2026-08-02</t>
  </si>
  <si>
    <t xml:space="preserve">9780.00</t>
  </si>
  <si>
    <t xml:space="preserve">WEB-20673</t>
  </si>
  <si>
    <t xml:space="preserve">Mia Zamora</t>
  </si>
  <si>
    <t xml:space="preserve">09615552792</t>
  </si>
  <si>
    <t xml:space="preserve">2024-12-25</t>
  </si>
  <si>
    <t xml:space="preserve">2026-04-24</t>
  </si>
  <si>
    <t xml:space="preserve">2340.00</t>
  </si>
  <si>
    <t xml:space="preserve">WEB-20674</t>
  </si>
  <si>
    <t xml:space="preserve">Leo Roxas</t>
  </si>
  <si>
    <t xml:space="preserve">2024-11-20</t>
  </si>
  <si>
    <t xml:space="preserve">2026-05-22</t>
  </si>
  <si>
    <t xml:space="preserve">9800.00</t>
  </si>
  <si>
    <t xml:space="preserve">R101</t>
  </si>
  <si>
    <t xml:space="preserve">WEB-20675</t>
  </si>
  <si>
    <t xml:space="preserve">  Nico  Vergara </t>
  </si>
  <si>
    <t xml:space="preserve">nico.vergara@example.net </t>
  </si>
  <si>
    <t xml:space="preserve">+639185554141</t>
  </si>
  <si>
    <t xml:space="preserve">2026-03-01</t>
  </si>
  <si>
    <t xml:space="preserve">2026-04-20</t>
  </si>
  <si>
    <t xml:space="preserve">1390.00</t>
  </si>
  <si>
    <t xml:space="preserve">WEB-20679</t>
  </si>
  <si>
    <t xml:space="preserve">Elmer Ilagan</t>
  </si>
  <si>
    <t xml:space="preserve">+639205552439</t>
  </si>
  <si>
    <t xml:space="preserve">2024-03-30</t>
  </si>
  <si>
    <t xml:space="preserve">2026-03-22</t>
  </si>
  <si>
    <t xml:space="preserve">8340.00</t>
  </si>
  <si>
    <t xml:space="preserve">WEB-20683</t>
  </si>
  <si>
    <t xml:space="preserve">Gio Bautista</t>
  </si>
  <si>
    <t xml:space="preserve">gio.bautista@example.com </t>
  </si>
  <si>
    <t xml:space="preserve">+639455556816</t>
  </si>
  <si>
    <t xml:space="preserve">2025-12-19</t>
  </si>
  <si>
    <t xml:space="preserve">6760.00</t>
  </si>
  <si>
    <t xml:space="preserve">R104</t>
  </si>
  <si>
    <t xml:space="preserve">WEB-20685</t>
  </si>
  <si>
    <t xml:space="preserve">  Kevin  Magno </t>
  </si>
  <si>
    <t xml:space="preserve">KEVIN.MAGNO@EXAMPLE.COM</t>
  </si>
  <si>
    <t xml:space="preserve">09775555530</t>
  </si>
  <si>
    <t xml:space="preserve">2025-12-17</t>
  </si>
  <si>
    <t xml:space="preserve">2026-07-02</t>
  </si>
  <si>
    <t xml:space="preserve">3700.00</t>
  </si>
  <si>
    <t xml:space="preserve">R105</t>
  </si>
  <si>
    <t xml:space="preserve">WEB-20689</t>
  </si>
  <si>
    <t xml:space="preserve">Alvin Vergara</t>
  </si>
  <si>
    <t xml:space="preserve">09615550464</t>
  </si>
  <si>
    <t xml:space="preserve">2024-09-11</t>
  </si>
  <si>
    <t xml:space="preserve">2025-05-26</t>
  </si>
  <si>
    <t xml:space="preserve">WEB-20690</t>
  </si>
  <si>
    <t xml:space="preserve">Venus Chua</t>
  </si>
  <si>
    <t xml:space="preserve">09615557854</t>
  </si>
  <si>
    <t xml:space="preserve">2025-01-04</t>
  </si>
  <si>
    <t xml:space="preserve">2025-11-09</t>
  </si>
  <si>
    <t xml:space="preserve">6650.00</t>
  </si>
  <si>
    <t xml:space="preserve">WEB-20691</t>
  </si>
  <si>
    <t xml:space="preserve">Jerome Hidalgo</t>
  </si>
  <si>
    <t xml:space="preserve">JHIDALGO74@EXAMPLE.COM</t>
  </si>
  <si>
    <t xml:space="preserve">09545554505</t>
  </si>
  <si>
    <t xml:space="preserve">2024-03-25</t>
  </si>
  <si>
    <t xml:space="preserve">2025-03-06</t>
  </si>
  <si>
    <t xml:space="preserve">5040.00</t>
  </si>
  <si>
    <t xml:space="preserve">R108</t>
  </si>
  <si>
    <t xml:space="preserve">WEB-20692</t>
  </si>
  <si>
    <t xml:space="preserve">09775550593</t>
  </si>
  <si>
    <t xml:space="preserve">WEB-20696</t>
  </si>
  <si>
    <t xml:space="preserve">Mark Dizon</t>
  </si>
  <si>
    <t xml:space="preserve">+639455556838</t>
  </si>
  <si>
    <t xml:space="preserve">930.00</t>
  </si>
  <si>
    <t xml:space="preserve">FB-0313</t>
  </si>
  <si>
    <t xml:space="preserve">Precious Nolasco</t>
  </si>
  <si>
    <t xml:space="preserve">(0918) 555-0963</t>
  </si>
  <si>
    <t xml:space="preserve">07-Sep-2023</t>
  </si>
  <si>
    <t xml:space="preserve">24-May-2026</t>
  </si>
  <si>
    <t xml:space="preserve">8 orders</t>
  </si>
  <si>
    <t xml:space="preserve">₱11,660</t>
  </si>
  <si>
    <t xml:space="preserve">no</t>
  </si>
  <si>
    <t xml:space="preserve">R111</t>
  </si>
  <si>
    <t xml:space="preserve">FB-0316</t>
  </si>
  <si>
    <t xml:space="preserve">Hannah Ocampo</t>
  </si>
  <si>
    <t xml:space="preserve">(0945) 555-1293</t>
  </si>
  <si>
    <t xml:space="preserve">Naga</t>
  </si>
  <si>
    <t xml:space="preserve">August 23 2026</t>
  </si>
  <si>
    <t xml:space="preserve">Sep 1, 2026</t>
  </si>
  <si>
    <t xml:space="preserve">770</t>
  </si>
  <si>
    <t xml:space="preserve">R112</t>
  </si>
  <si>
    <t xml:space="preserve">FB-0319</t>
  </si>
  <si>
    <t xml:space="preserve">Bernadette Cabrera</t>
  </si>
  <si>
    <t xml:space="preserve">09395557626</t>
  </si>
  <si>
    <t xml:space="preserve">April 28 2025</t>
  </si>
  <si>
    <t xml:space="preserve">19-Aug-2026</t>
  </si>
  <si>
    <t xml:space="preserve">10 orders</t>
  </si>
  <si>
    <t xml:space="preserve">9,860</t>
  </si>
  <si>
    <t xml:space="preserve">yes</t>
  </si>
  <si>
    <t xml:space="preserve">FB-0322</t>
  </si>
  <si>
    <t xml:space="preserve">gerald salazar</t>
  </si>
  <si>
    <t xml:space="preserve">GERALD.SALAZAR@EXAMPLE.NET</t>
  </si>
  <si>
    <t xml:space="preserve">0919 555 3247</t>
  </si>
  <si>
    <t xml:space="preserve">Jul 25, 2026</t>
  </si>
  <si>
    <t xml:space="preserve">July 25 2026</t>
  </si>
  <si>
    <t xml:space="preserve">P1,330.00</t>
  </si>
  <si>
    <t xml:space="preserve">FB-0325</t>
  </si>
  <si>
    <t xml:space="preserve">Carlo Rivera</t>
  </si>
  <si>
    <t xml:space="preserve">920 555 0814</t>
  </si>
  <si>
    <t xml:space="preserve">Oct 26, 2023</t>
  </si>
  <si>
    <t xml:space="preserve">Mar 12, 2026</t>
  </si>
  <si>
    <t xml:space="preserve">6 orders</t>
  </si>
  <si>
    <t xml:space="preserve">5,540</t>
  </si>
  <si>
    <t xml:space="preserve">Y</t>
  </si>
  <si>
    <t xml:space="preserve">R115</t>
  </si>
  <si>
    <t xml:space="preserve">FB-0326</t>
  </si>
  <si>
    <t xml:space="preserve">jessa mendoza</t>
  </si>
  <si>
    <t xml:space="preserve">0977 555 0698</t>
  </si>
  <si>
    <t xml:space="preserve">Aug 3, 2024</t>
  </si>
  <si>
    <t xml:space="preserve">October 14 2025</t>
  </si>
  <si>
    <t xml:space="preserve">P1,280.00</t>
  </si>
  <si>
    <t xml:space="preserve">R116</t>
  </si>
  <si>
    <t xml:space="preserve">FB-0330</t>
  </si>
  <si>
    <t xml:space="preserve">Cathy Flores</t>
  </si>
  <si>
    <t xml:space="preserve">0920 555 4882</t>
  </si>
  <si>
    <t xml:space="preserve">SORSOGON CITY</t>
  </si>
  <si>
    <t xml:space="preserve">May 2 2025</t>
  </si>
  <si>
    <t xml:space="preserve">Aug 17, 2026</t>
  </si>
  <si>
    <t xml:space="preserve">P10,020.00</t>
  </si>
  <si>
    <t xml:space="preserve">FB-0334</t>
  </si>
  <si>
    <t xml:space="preserve">Alvin Dela Cruz</t>
  </si>
  <si>
    <t xml:space="preserve">995 555 7735</t>
  </si>
  <si>
    <t xml:space="preserve">Nov 10, 2024</t>
  </si>
  <si>
    <t xml:space="preserve">January 20 2026</t>
  </si>
  <si>
    <t xml:space="preserve">P7,390.00</t>
  </si>
  <si>
    <t xml:space="preserve">FB-0338</t>
  </si>
  <si>
    <t xml:space="preserve">ivan navarro</t>
  </si>
  <si>
    <t xml:space="preserve">ivan.navarro@example.com </t>
  </si>
  <si>
    <t xml:space="preserve">09185558417</t>
  </si>
  <si>
    <t xml:space="preserve">September 2 2023</t>
  </si>
  <si>
    <t xml:space="preserve">Feb 11, 2026</t>
  </si>
  <si>
    <t xml:space="preserve">5 orders</t>
  </si>
  <si>
    <t xml:space="preserve">₱7,960</t>
  </si>
  <si>
    <t xml:space="preserve">FB-0342</t>
  </si>
  <si>
    <t xml:space="preserve">dan yap</t>
  </si>
  <si>
    <t xml:space="preserve">0945 555 1875</t>
  </si>
  <si>
    <t xml:space="preserve">CATANDUANES</t>
  </si>
  <si>
    <t xml:space="preserve">08-Nov-2024</t>
  </si>
  <si>
    <t xml:space="preserve">Oct 23, 2025</t>
  </si>
  <si>
    <t xml:space="preserve">9 orders</t>
  </si>
  <si>
    <t xml:space="preserve">15,840</t>
  </si>
  <si>
    <t xml:space="preserve">FB-0346</t>
  </si>
  <si>
    <t xml:space="preserve">marvin torres</t>
  </si>
  <si>
    <t xml:space="preserve">0998 555 8961</t>
  </si>
  <si>
    <t xml:space="preserve">Apr 5, 2024</t>
  </si>
  <si>
    <t xml:space="preserve">Sep 27, 2024</t>
  </si>
  <si>
    <t xml:space="preserve">4,740</t>
  </si>
  <si>
    <t xml:space="preserve">FB-0350</t>
  </si>
  <si>
    <t xml:space="preserve">ben castillo</t>
  </si>
  <si>
    <t xml:space="preserve">09455559269</t>
  </si>
  <si>
    <t xml:space="preserve">20-Aug-2026</t>
  </si>
  <si>
    <t xml:space="preserve">August 20 2026</t>
  </si>
  <si>
    <t xml:space="preserve">1 order</t>
  </si>
  <si>
    <t xml:space="preserve">P970.00</t>
  </si>
  <si>
    <t xml:space="preserve">FB-0352</t>
  </si>
  <si>
    <t xml:space="preserve">patrick valdez</t>
  </si>
  <si>
    <t xml:space="preserve">998 555 5222</t>
  </si>
  <si>
    <t xml:space="preserve">August 10 2024</t>
  </si>
  <si>
    <t xml:space="preserve">18-Jul-2026</t>
  </si>
  <si>
    <t xml:space="preserve">₱40,540</t>
  </si>
  <si>
    <t xml:space="preserve">FB-0354</t>
  </si>
  <si>
    <t xml:space="preserve">aira santiago</t>
  </si>
  <si>
    <t xml:space="preserve">918 555 8391</t>
  </si>
  <si>
    <t xml:space="preserve">Jul 8, 2023</t>
  </si>
  <si>
    <t xml:space="preserve">January 10 2024</t>
  </si>
  <si>
    <t xml:space="preserve">P7,510.00</t>
  </si>
  <si>
    <t xml:space="preserve">FB-0358</t>
  </si>
  <si>
    <t xml:space="preserve">Hector Ordonez</t>
  </si>
  <si>
    <t xml:space="preserve">(0919) 555-4423</t>
  </si>
  <si>
    <t xml:space="preserve">Iriga</t>
  </si>
  <si>
    <t xml:space="preserve">June 9 2024</t>
  </si>
  <si>
    <t xml:space="preserve">July 27 2026</t>
  </si>
  <si>
    <t xml:space="preserve">₱19,560</t>
  </si>
  <si>
    <t xml:space="preserve">R125</t>
  </si>
  <si>
    <t xml:space="preserve">FB-0360</t>
  </si>
  <si>
    <t xml:space="preserve">oscar quiambao</t>
  </si>
  <si>
    <t xml:space="preserve">(0928) 555-5585</t>
  </si>
  <si>
    <t xml:space="preserve">Oct 6, 2023</t>
  </si>
  <si>
    <t xml:space="preserve">September 19 2024</t>
  </si>
  <si>
    <t xml:space="preserve">6,150</t>
  </si>
  <si>
    <t xml:space="preserve">FB-0363</t>
  </si>
  <si>
    <t xml:space="preserve">Xander Torres</t>
  </si>
  <si>
    <t xml:space="preserve">995 555 6206</t>
  </si>
  <si>
    <t xml:space="preserve">September 21 2023</t>
  </si>
  <si>
    <t xml:space="preserve">Jul 20, 2025</t>
  </si>
  <si>
    <t xml:space="preserve">2,460</t>
  </si>
  <si>
    <t xml:space="preserve">FB-0364</t>
  </si>
  <si>
    <t xml:space="preserve">Fritz Francisco</t>
  </si>
  <si>
    <t xml:space="preserve">09615553755</t>
  </si>
  <si>
    <t xml:space="preserve">06-Mar-2023</t>
  </si>
  <si>
    <t xml:space="preserve">13-Jun-2025</t>
  </si>
  <si>
    <t xml:space="preserve">3,390</t>
  </si>
  <si>
    <t xml:space="preserve">FB-0367</t>
  </si>
  <si>
    <t xml:space="preserve">Sam Navarro</t>
  </si>
  <si>
    <t xml:space="preserve">0917 555 4228</t>
  </si>
  <si>
    <t xml:space="preserve">August 25 2026</t>
  </si>
  <si>
    <t xml:space="preserve">2,100</t>
  </si>
  <si>
    <t xml:space="preserve">R129</t>
  </si>
  <si>
    <t xml:space="preserve">FB-0370</t>
  </si>
  <si>
    <t xml:space="preserve">977 555 6014</t>
  </si>
  <si>
    <t xml:space="preserve">24-Nov-2023</t>
  </si>
  <si>
    <t xml:space="preserve">Dec 6, 2024</t>
  </si>
  <si>
    <t xml:space="preserve">4 orders</t>
  </si>
  <si>
    <t xml:space="preserve">2,920</t>
  </si>
  <si>
    <t xml:space="preserve">FB-0374</t>
  </si>
  <si>
    <t xml:space="preserve">Rey Garcia</t>
  </si>
  <si>
    <t xml:space="preserve">918 555 2870</t>
  </si>
  <si>
    <t xml:space="preserve">April 5 2024</t>
  </si>
  <si>
    <t xml:space="preserve">August 15 2026</t>
  </si>
  <si>
    <t xml:space="preserve">P6,250.00</t>
  </si>
  <si>
    <t xml:space="preserve">R131</t>
  </si>
  <si>
    <t xml:space="preserve">FB-0377</t>
  </si>
  <si>
    <t xml:space="preserve">0998 555 0205</t>
  </si>
  <si>
    <t xml:space="preserve">April 1 2025</t>
  </si>
  <si>
    <t xml:space="preserve">10-Aug-2026</t>
  </si>
  <si>
    <t xml:space="preserve">3,130</t>
  </si>
  <si>
    <t xml:space="preserve">R132</t>
  </si>
  <si>
    <t xml:space="preserve">FB-0379</t>
  </si>
  <si>
    <t xml:space="preserve">nico vergara</t>
  </si>
  <si>
    <t xml:space="preserve">0918 555 4141</t>
  </si>
  <si>
    <t xml:space="preserve">March 26 2026</t>
  </si>
  <si>
    <t xml:space="preserve">May 28, 2026</t>
  </si>
  <si>
    <t xml:space="preserve">₱6,930</t>
  </si>
  <si>
    <t xml:space="preserve">FB-0381</t>
  </si>
  <si>
    <t xml:space="preserve">Venus Navarro</t>
  </si>
  <si>
    <t xml:space="preserve">venus.navarro</t>
  </si>
  <si>
    <t xml:space="preserve">0998 555 7652</t>
  </si>
  <si>
    <t xml:space="preserve">iriga</t>
  </si>
  <si>
    <t xml:space="preserve">February 19 2025</t>
  </si>
  <si>
    <t xml:space="preserve">23-Aug-2026</t>
  </si>
  <si>
    <t xml:space="preserve">19</t>
  </si>
  <si>
    <t xml:space="preserve">23,830</t>
  </si>
  <si>
    <t xml:space="preserve">FB-0382</t>
  </si>
  <si>
    <t xml:space="preserve">Mark Gonzales</t>
  </si>
  <si>
    <t xml:space="preserve">945 555 2257</t>
  </si>
  <si>
    <t xml:space="preserve">October 4 2023</t>
  </si>
  <si>
    <t xml:space="preserve">July 5 2026</t>
  </si>
  <si>
    <t xml:space="preserve">P7,450.00</t>
  </si>
  <si>
    <t xml:space="preserve">R135</t>
  </si>
  <si>
    <t xml:space="preserve">FB-0386</t>
  </si>
  <si>
    <t xml:space="preserve">Aug 16, 2025</t>
  </si>
  <si>
    <t xml:space="preserve">July 17 2026</t>
  </si>
  <si>
    <t xml:space="preserve">₱1,080</t>
  </si>
  <si>
    <t xml:space="preserve">FB-0390</t>
  </si>
  <si>
    <t xml:space="preserve">Lorna Encarnacion</t>
  </si>
  <si>
    <t xml:space="preserve">0995 555 1330</t>
  </si>
  <si>
    <t xml:space="preserve">February 1 2025</t>
  </si>
  <si>
    <t xml:space="preserve">Dec 31, 2025</t>
  </si>
  <si>
    <t xml:space="preserve">₱5,430</t>
  </si>
  <si>
    <t xml:space="preserve">R137</t>
  </si>
  <si>
    <t xml:space="preserve">FB-0392</t>
  </si>
  <si>
    <t xml:space="preserve">Miguel Cruz</t>
  </si>
  <si>
    <t xml:space="preserve">(0919) 555-6778</t>
  </si>
  <si>
    <t xml:space="preserve">26-Dec-2023</t>
  </si>
  <si>
    <t xml:space="preserve">03-Jan-2025</t>
  </si>
  <si>
    <t xml:space="preserve">P1,850.00</t>
  </si>
  <si>
    <t xml:space="preserve">FB-0395</t>
  </si>
  <si>
    <t xml:space="preserve">cathy herrera</t>
  </si>
  <si>
    <t xml:space="preserve">0928 555 9655</t>
  </si>
  <si>
    <t xml:space="preserve">August 30 2026</t>
  </si>
  <si>
    <t xml:space="preserve">Aug 30, 2026</t>
  </si>
  <si>
    <t xml:space="preserve">P1,770.00</t>
  </si>
  <si>
    <t xml:space="preserve">FB-0398</t>
  </si>
  <si>
    <t xml:space="preserve">Gelo Chua</t>
  </si>
  <si>
    <t xml:space="preserve">0954 555 4378</t>
  </si>
  <si>
    <t xml:space="preserve">04-Sep-2026</t>
  </si>
  <si>
    <t xml:space="preserve">2,800</t>
  </si>
  <si>
    <t xml:space="preserve">R140</t>
  </si>
  <si>
    <t xml:space="preserve">FB-0402</t>
  </si>
  <si>
    <t xml:space="preserve">Jessa Encarnacion</t>
  </si>
  <si>
    <t xml:space="preserve">0928 555 8102</t>
  </si>
  <si>
    <t xml:space="preserve">17-Nov-2024</t>
  </si>
  <si>
    <t xml:space="preserve">July 8 2025</t>
  </si>
  <si>
    <t xml:space="preserve">P37,560.00</t>
  </si>
  <si>
    <t xml:space="preserve">FB-0406</t>
  </si>
  <si>
    <t xml:space="preserve">mia encarnacion</t>
  </si>
  <si>
    <t xml:space="preserve">0939 555 5704</t>
  </si>
  <si>
    <t xml:space="preserve">05-Sep-2026</t>
  </si>
  <si>
    <t xml:space="preserve">09-Sep-2026</t>
  </si>
  <si>
    <t xml:space="preserve">₱3,760</t>
  </si>
  <si>
    <t xml:space="preserve">FB-0407</t>
  </si>
  <si>
    <t xml:space="preserve">Hector Vergara</t>
  </si>
  <si>
    <t xml:space="preserve">0961 555 5217</t>
  </si>
  <si>
    <t xml:space="preserve">September 11 2024</t>
  </si>
  <si>
    <t xml:space="preserve">June 29 2026</t>
  </si>
  <si>
    <t xml:space="preserve">₱7,930</t>
  </si>
  <si>
    <t xml:space="preserve">N</t>
  </si>
  <si>
    <t xml:space="preserve">FB-0411</t>
  </si>
  <si>
    <t xml:space="preserve">kim aguilar</t>
  </si>
  <si>
    <t xml:space="preserve">09615555500</t>
  </si>
  <si>
    <t xml:space="preserve">Nov 28, 2025</t>
  </si>
  <si>
    <t xml:space="preserve">Jun 6, 2026</t>
  </si>
  <si>
    <t xml:space="preserve">₱3,690</t>
  </si>
  <si>
    <t xml:space="preserve">R144</t>
  </si>
  <si>
    <t xml:space="preserve">FB-0413</t>
  </si>
  <si>
    <t xml:space="preserve">Kevin Magno</t>
  </si>
  <si>
    <t xml:space="preserve">977 555 5530</t>
  </si>
  <si>
    <t xml:space="preserve">Pili, CS</t>
  </si>
  <si>
    <t xml:space="preserve">July 10 2025</t>
  </si>
  <si>
    <t xml:space="preserve">29-Nov-2025</t>
  </si>
  <si>
    <t xml:space="preserve">₱8,340</t>
  </si>
  <si>
    <t xml:space="preserve">R145</t>
  </si>
  <si>
    <t xml:space="preserve">FB-0415</t>
  </si>
  <si>
    <t xml:space="preserve">sam ocampo</t>
  </si>
  <si>
    <t xml:space="preserve">sam.ocampo@example.com </t>
  </si>
  <si>
    <t xml:space="preserve">0919 555 9762</t>
  </si>
  <si>
    <t xml:space="preserve">Mar 11, 2025</t>
  </si>
  <si>
    <t xml:space="preserve">16-Jun-2026</t>
  </si>
  <si>
    <t xml:space="preserve">FB-0416</t>
  </si>
  <si>
    <t xml:space="preserve">Aira Ignacio</t>
  </si>
  <si>
    <t xml:space="preserve">aira.ignacio@example.com </t>
  </si>
  <si>
    <t xml:space="preserve">0928 555 5809</t>
  </si>
  <si>
    <t xml:space="preserve">13-Jun-2023</t>
  </si>
  <si>
    <t xml:space="preserve">Mar 25, 2024</t>
  </si>
  <si>
    <t xml:space="preserve">2 orders</t>
  </si>
  <si>
    <t xml:space="preserve">3,400</t>
  </si>
  <si>
    <t xml:space="preserve">R147</t>
  </si>
  <si>
    <t xml:space="preserve">FB-0417</t>
  </si>
  <si>
    <t xml:space="preserve">hannah galang</t>
  </si>
  <si>
    <t xml:space="preserve">954 555 8277</t>
  </si>
  <si>
    <t xml:space="preserve">Apr 3, 2025</t>
  </si>
  <si>
    <t xml:space="preserve">22-Dec-2025</t>
  </si>
  <si>
    <t xml:space="preserve">₱1,470</t>
  </si>
  <si>
    <t xml:space="preserve">FB-0421</t>
  </si>
  <si>
    <t xml:space="preserve">carlo cortez</t>
  </si>
  <si>
    <t xml:space="preserve">(0977) 555-6591</t>
  </si>
  <si>
    <t xml:space="preserve">Jun 9, 2023</t>
  </si>
  <si>
    <t xml:space="preserve">17-Aug-2023</t>
  </si>
  <si>
    <t xml:space="preserve">2,220</t>
  </si>
  <si>
    <t xml:space="preserve">FB-0423</t>
  </si>
  <si>
    <t xml:space="preserve">janelle velasco</t>
  </si>
  <si>
    <t xml:space="preserve">0995 555 0519</t>
  </si>
  <si>
    <t xml:space="preserve">December 16 2025</t>
  </si>
  <si>
    <t xml:space="preserve">10-Sep-2026</t>
  </si>
  <si>
    <t xml:space="preserve">5,460</t>
  </si>
  <si>
    <t xml:space="preserve">FB-0424</t>
  </si>
  <si>
    <t xml:space="preserve">Clara Domingo</t>
  </si>
  <si>
    <t xml:space="preserve">(0945) 555-5892</t>
  </si>
  <si>
    <t xml:space="preserve">Feb 28, 2024</t>
  </si>
  <si>
    <t xml:space="preserve">26-Aug-2026</t>
  </si>
  <si>
    <t xml:space="preserve">32</t>
  </si>
  <si>
    <t xml:space="preserve">P41,790.00</t>
  </si>
  <si>
    <t xml:space="preserve">R151</t>
  </si>
  <si>
    <t xml:space="preserve">FB-0426</t>
  </si>
  <si>
    <t xml:space="preserve">liza cabrera</t>
  </si>
  <si>
    <t xml:space="preserve">liza.cabrera@example.com </t>
  </si>
  <si>
    <t xml:space="preserve">09545550408</t>
  </si>
  <si>
    <t xml:space="preserve">September 25 2024</t>
  </si>
  <si>
    <t xml:space="preserve">Jul 7, 2025</t>
  </si>
  <si>
    <t xml:space="preserve">P5,980.00</t>
  </si>
  <si>
    <t xml:space="preserve">R152</t>
  </si>
  <si>
    <t xml:space="preserve">FB-0428</t>
  </si>
  <si>
    <t xml:space="preserve">ursula aguilar</t>
  </si>
  <si>
    <t xml:space="preserve"> Ursula.aguilar@example.net</t>
  </si>
  <si>
    <t xml:space="preserve">09545555789</t>
  </si>
  <si>
    <t xml:space="preserve">06-May-2024</t>
  </si>
  <si>
    <t xml:space="preserve">March 19 2025</t>
  </si>
  <si>
    <t xml:space="preserve">15</t>
  </si>
  <si>
    <t xml:space="preserve">17,120</t>
  </si>
  <si>
    <t xml:space="preserve">R153</t>
  </si>
  <si>
    <t xml:space="preserve">FB-0432</t>
  </si>
  <si>
    <t xml:space="preserve">wendy cortez</t>
  </si>
  <si>
    <t xml:space="preserve">wendy.cortez@example.com </t>
  </si>
  <si>
    <t xml:space="preserve">09775559537</t>
  </si>
  <si>
    <t xml:space="preserve">March 12 2025</t>
  </si>
  <si>
    <t xml:space="preserve">August 16 2025</t>
  </si>
  <si>
    <t xml:space="preserve">P9,880.00</t>
  </si>
  <si>
    <t xml:space="preserve">R154</t>
  </si>
  <si>
    <t xml:space="preserve">FB-0434</t>
  </si>
  <si>
    <t xml:space="preserve">Teddy Torres</t>
  </si>
  <si>
    <t xml:space="preserve">(0939) 555-5147</t>
  </si>
  <si>
    <t xml:space="preserve">July 10 2024</t>
  </si>
  <si>
    <t xml:space="preserve">01-Dec-2024</t>
  </si>
  <si>
    <t xml:space="preserve">P1,870.00</t>
  </si>
  <si>
    <t xml:space="preserve">FB-0438</t>
  </si>
  <si>
    <t xml:space="preserve">wilma roxas</t>
  </si>
  <si>
    <t xml:space="preserve">09985553127</t>
  </si>
  <si>
    <t xml:space="preserve">24-Sep-2024</t>
  </si>
  <si>
    <t xml:space="preserve">7,580</t>
  </si>
  <si>
    <t xml:space="preserve">R156</t>
  </si>
  <si>
    <t xml:space="preserve">FB-0440</t>
  </si>
  <si>
    <t xml:space="preserve">ocortez73@exmaple.net</t>
  </si>
  <si>
    <t xml:space="preserve">939 555 5191</t>
  </si>
  <si>
    <t xml:space="preserve">22-Nov-2024</t>
  </si>
  <si>
    <t xml:space="preserve">October 25 2025</t>
  </si>
  <si>
    <t xml:space="preserve">₱3,700</t>
  </si>
  <si>
    <t xml:space="preserve">R157</t>
  </si>
  <si>
    <t xml:space="preserve">FB-0443</t>
  </si>
  <si>
    <t xml:space="preserve">Cathy Domingo</t>
  </si>
  <si>
    <t xml:space="preserve"> Cathy.domingo@example.com</t>
  </si>
  <si>
    <t xml:space="preserve">0995 555 3099</t>
  </si>
  <si>
    <t xml:space="preserve">Mar 26, 2025</t>
  </si>
  <si>
    <t xml:space="preserve">Aug 16, 2026</t>
  </si>
  <si>
    <t xml:space="preserve">₱5,290</t>
  </si>
  <si>
    <t xml:space="preserve">FB-0446</t>
  </si>
  <si>
    <t xml:space="preserve">wendy garcia</t>
  </si>
  <si>
    <t xml:space="preserve">09275551010</t>
  </si>
  <si>
    <t xml:space="preserve">April 4 2024</t>
  </si>
  <si>
    <t xml:space="preserve">Jun 5, 2026</t>
  </si>
  <si>
    <t xml:space="preserve">P5,200.00</t>
  </si>
  <si>
    <t xml:space="preserve">FB-0447</t>
  </si>
  <si>
    <t xml:space="preserve">Aira Lacson</t>
  </si>
  <si>
    <t xml:space="preserve">09985555918</t>
  </si>
  <si>
    <t xml:space="preserve">January 6 2024</t>
  </si>
  <si>
    <t xml:space="preserve">December 14 2025</t>
  </si>
  <si>
    <t xml:space="preserve">₱3,740</t>
  </si>
  <si>
    <t xml:space="preserve">FB-0450</t>
  </si>
  <si>
    <t xml:space="preserve">dan cruz</t>
  </si>
  <si>
    <t xml:space="preserve">995 555 7400</t>
  </si>
  <si>
    <t xml:space="preserve">TABACO</t>
  </si>
  <si>
    <t xml:space="preserve">September 8 2024</t>
  </si>
  <si>
    <t xml:space="preserve">Jun 8, 2026</t>
  </si>
  <si>
    <t xml:space="preserve">2,540</t>
  </si>
  <si>
    <t xml:space="preserve">FB-0452</t>
  </si>
  <si>
    <t xml:space="preserve">Nico Torres</t>
  </si>
  <si>
    <t xml:space="preserve">977 555 0129</t>
  </si>
  <si>
    <t xml:space="preserve">May 28 2023</t>
  </si>
  <si>
    <t xml:space="preserve">22-Aug-2025</t>
  </si>
  <si>
    <t xml:space="preserve">P6,910.00</t>
  </si>
  <si>
    <t xml:space="preserve">R162</t>
  </si>
  <si>
    <t xml:space="preserve">FB-0455</t>
  </si>
  <si>
    <t xml:space="preserve">January 17 2025</t>
  </si>
  <si>
    <t xml:space="preserve">December 5 2025</t>
  </si>
  <si>
    <t xml:space="preserve">3,470</t>
  </si>
  <si>
    <t xml:space="preserve">FB-0458</t>
  </si>
  <si>
    <t xml:space="preserve">Bea Torres</t>
  </si>
  <si>
    <t xml:space="preserve">945 555 3117</t>
  </si>
  <si>
    <t xml:space="preserve">September 27 2026</t>
  </si>
  <si>
    <t xml:space="preserve">1,650</t>
  </si>
  <si>
    <t xml:space="preserve">R164</t>
  </si>
  <si>
    <t xml:space="preserve">FB-0460</t>
  </si>
  <si>
    <t xml:space="preserve">Erika Yap</t>
  </si>
  <si>
    <t xml:space="preserve">erika.yap@exmaple.com</t>
  </si>
  <si>
    <t xml:space="preserve">09955556049</t>
  </si>
  <si>
    <t xml:space="preserve">31-Aug-2025</t>
  </si>
  <si>
    <t xml:space="preserve">Dec 8, 2025</t>
  </si>
  <si>
    <t xml:space="preserve">₱2,620</t>
  </si>
  <si>
    <t xml:space="preserve">FB-0461</t>
  </si>
  <si>
    <t xml:space="preserve">cedric agbayani</t>
  </si>
  <si>
    <t xml:space="preserve">927 555 5498</t>
  </si>
  <si>
    <t xml:space="preserve">Dec 12, 2025</t>
  </si>
  <si>
    <t xml:space="preserve">May 8, 2026</t>
  </si>
  <si>
    <t xml:space="preserve">₱5,580</t>
  </si>
  <si>
    <t xml:space="preserve">R166</t>
  </si>
  <si>
    <t xml:space="preserve">FB-0463</t>
  </si>
  <si>
    <t xml:space="preserve">28-Jan-2026</t>
  </si>
  <si>
    <t xml:space="preserve">Apr 1, 2026</t>
  </si>
  <si>
    <t xml:space="preserve">₱2,160</t>
  </si>
  <si>
    <t xml:space="preserve">R167</t>
  </si>
  <si>
    <t xml:space="preserve">FB-0465</t>
  </si>
  <si>
    <t xml:space="preserve">Wendy Dimaculangan</t>
  </si>
  <si>
    <t xml:space="preserve">0928 555 6822</t>
  </si>
  <si>
    <t xml:space="preserve">28-Sep-2023</t>
  </si>
  <si>
    <t xml:space="preserve">14-Mar-2024</t>
  </si>
  <si>
    <t xml:space="preserve">2,750</t>
  </si>
  <si>
    <t xml:space="preserve">R168</t>
  </si>
  <si>
    <t xml:space="preserve">FB-0466</t>
  </si>
  <si>
    <t xml:space="preserve">leo valdez</t>
  </si>
  <si>
    <t xml:space="preserve"> Lvaldez94@example.org</t>
  </si>
  <si>
    <t xml:space="preserve">0927 555 2161</t>
  </si>
  <si>
    <t xml:space="preserve">05-Jul-2025</t>
  </si>
  <si>
    <t xml:space="preserve">Dec 19, 2025</t>
  </si>
  <si>
    <t xml:space="preserve">P5,490.00</t>
  </si>
  <si>
    <t xml:space="preserve">FB-0470</t>
  </si>
  <si>
    <t xml:space="preserve">Edwin Ilagan</t>
  </si>
  <si>
    <t xml:space="preserve">(0977) 555-8984</t>
  </si>
  <si>
    <t xml:space="preserve">09-Nov-2023</t>
  </si>
  <si>
    <t xml:space="preserve">31-Jul-2026</t>
  </si>
  <si>
    <t xml:space="preserve">P11,420.00</t>
  </si>
  <si>
    <t xml:space="preserve">R170</t>
  </si>
  <si>
    <t xml:space="preserve">FB-0471</t>
  </si>
  <si>
    <t xml:space="preserve">918 555 5999</t>
  </si>
  <si>
    <t xml:space="preserve">Dec 2, 2024</t>
  </si>
  <si>
    <t xml:space="preserve">Nov 9, 2025</t>
  </si>
  <si>
    <t xml:space="preserve">P1,390.00</t>
  </si>
  <si>
    <t xml:space="preserve">FB-0473</t>
  </si>
  <si>
    <t xml:space="preserve">pauline bernal</t>
  </si>
  <si>
    <t xml:space="preserve">09285553589</t>
  </si>
  <si>
    <t xml:space="preserve">May 9 2024</t>
  </si>
  <si>
    <t xml:space="preserve">10-Jun-2026</t>
  </si>
  <si>
    <t xml:space="preserve">9,950</t>
  </si>
  <si>
    <t xml:space="preserve">FB-0477</t>
  </si>
  <si>
    <t xml:space="preserve">edwin tolentino</t>
  </si>
  <si>
    <t xml:space="preserve">995 555 6521</t>
  </si>
  <si>
    <t xml:space="preserve">Sep 12, 2023</t>
  </si>
  <si>
    <t xml:space="preserve">Feb 5, 2026</t>
  </si>
  <si>
    <t xml:space="preserve">4,230</t>
  </si>
  <si>
    <t xml:space="preserve">R173</t>
  </si>
  <si>
    <t xml:space="preserve">FB-0481</t>
  </si>
  <si>
    <t xml:space="preserve">927 555 4239</t>
  </si>
  <si>
    <t xml:space="preserve">September 5 2026</t>
  </si>
  <si>
    <t xml:space="preserve">P900.00</t>
  </si>
  <si>
    <t xml:space="preserve">R174</t>
  </si>
  <si>
    <t xml:space="preserve">FB-0485</t>
  </si>
  <si>
    <t xml:space="preserve">09395554499</t>
  </si>
  <si>
    <t xml:space="preserve">camarines norte</t>
  </si>
  <si>
    <t xml:space="preserve">02-Dec-2025</t>
  </si>
  <si>
    <t xml:space="preserve">Apr 22, 2026</t>
  </si>
  <si>
    <t xml:space="preserve">₱14,740</t>
  </si>
  <si>
    <t xml:space="preserve">FB-0487</t>
  </si>
  <si>
    <t xml:space="preserve">Miguel Soriano</t>
  </si>
  <si>
    <t xml:space="preserve">0977 555 8871</t>
  </si>
  <si>
    <t xml:space="preserve">Mar 28, 2025</t>
  </si>
  <si>
    <t xml:space="preserve">Oct 18, 2025</t>
  </si>
  <si>
    <t xml:space="preserve">₱6,380</t>
  </si>
  <si>
    <t xml:space="preserve">R176</t>
  </si>
  <si>
    <t xml:space="preserve">FB-0491</t>
  </si>
  <si>
    <t xml:space="preserve">cyril mendoza</t>
  </si>
  <si>
    <t xml:space="preserve">09275558919</t>
  </si>
  <si>
    <t xml:space="preserve">16-Nov-2024</t>
  </si>
  <si>
    <t xml:space="preserve">08-Oct-2025</t>
  </si>
  <si>
    <t xml:space="preserve">₱1,650</t>
  </si>
  <si>
    <t xml:space="preserve">FB-0494</t>
  </si>
  <si>
    <t xml:space="preserve">tonette dimaculangan</t>
  </si>
  <si>
    <t xml:space="preserve">TONETTE.DIMACULANGAN@EXAMPLE.COM</t>
  </si>
  <si>
    <t xml:space="preserve">920 555 1697</t>
  </si>
  <si>
    <t xml:space="preserve">December 21 2024</t>
  </si>
  <si>
    <t xml:space="preserve">August 11 2026</t>
  </si>
  <si>
    <t xml:space="preserve">33</t>
  </si>
  <si>
    <t xml:space="preserve">36,960</t>
  </si>
  <si>
    <t xml:space="preserve">FB-0495</t>
  </si>
  <si>
    <t xml:space="preserve">Rafael Rosales</t>
  </si>
  <si>
    <t xml:space="preserve">09455552236</t>
  </si>
  <si>
    <t xml:space="preserve">July 13 2026</t>
  </si>
  <si>
    <t xml:space="preserve">P890.00</t>
  </si>
  <si>
    <t xml:space="preserve">R179</t>
  </si>
  <si>
    <t xml:space="preserve">FB-0497</t>
  </si>
  <si>
    <t xml:space="preserve">ramon galang</t>
  </si>
  <si>
    <t xml:space="preserve">(0998) 555-4430</t>
  </si>
  <si>
    <t xml:space="preserve">November 11 2024</t>
  </si>
  <si>
    <t xml:space="preserve">May 27, 2025</t>
  </si>
  <si>
    <t xml:space="preserve">₱2,870</t>
  </si>
  <si>
    <t xml:space="preserve">R180</t>
  </si>
  <si>
    <t xml:space="preserve">FB-0500</t>
  </si>
  <si>
    <t xml:space="preserve">flor evangelista</t>
  </si>
  <si>
    <t xml:space="preserve">0918 555 6322</t>
  </si>
  <si>
    <t xml:space="preserve">Jun 23, 2023</t>
  </si>
  <si>
    <t xml:space="preserve">Aug 12, 2026</t>
  </si>
  <si>
    <t xml:space="preserve">33 orders</t>
  </si>
  <si>
    <t xml:space="preserve">51,710</t>
  </si>
  <si>
    <t xml:space="preserve">FB-0502</t>
  </si>
  <si>
    <t xml:space="preserve">Mia Tan</t>
  </si>
  <si>
    <t xml:space="preserve">mia.tan</t>
  </si>
  <si>
    <t xml:space="preserve">961 555 1469</t>
  </si>
  <si>
    <t xml:space="preserve">August 5 2026</t>
  </si>
  <si>
    <t xml:space="preserve">September 11 2026</t>
  </si>
  <si>
    <t xml:space="preserve">P3,400.00</t>
  </si>
  <si>
    <t xml:space="preserve">R182</t>
  </si>
  <si>
    <t xml:space="preserve">FB-0506</t>
  </si>
  <si>
    <t xml:space="preserve">Flor Evangelista</t>
  </si>
  <si>
    <t xml:space="preserve">09185556322</t>
  </si>
  <si>
    <t xml:space="preserve">August 12 2026</t>
  </si>
  <si>
    <t xml:space="preserve">₱51,710</t>
  </si>
  <si>
    <t xml:space="preserve">R183</t>
  </si>
  <si>
    <t xml:space="preserve">FB-0510</t>
  </si>
  <si>
    <t xml:space="preserve">cedric.fernandez@example.com </t>
  </si>
  <si>
    <t xml:space="preserve">(0995) 555-6077</t>
  </si>
  <si>
    <t xml:space="preserve">07-Feb-2024</t>
  </si>
  <si>
    <t xml:space="preserve">Sep 12, 2025</t>
  </si>
  <si>
    <t xml:space="preserve">P1,210.00</t>
  </si>
  <si>
    <t xml:space="preserve">FB-0511</t>
  </si>
  <si>
    <t xml:space="preserve">hannah cortez</t>
  </si>
  <si>
    <t xml:space="preserve">918 555 7216</t>
  </si>
  <si>
    <t xml:space="preserve">17-Jul-2023</t>
  </si>
  <si>
    <t xml:space="preserve">Jul 17, 2023</t>
  </si>
  <si>
    <t xml:space="preserve">₱1,860</t>
  </si>
  <si>
    <t xml:space="preserve">R185</t>
  </si>
  <si>
    <t xml:space="preserve">FB-0514</t>
  </si>
  <si>
    <t xml:space="preserve">CEDRIC.DELEON@MAIL.EXAMPLE.COM</t>
  </si>
  <si>
    <t xml:space="preserve">(0919) 555-3704</t>
  </si>
  <si>
    <t xml:space="preserve">October 16 2024</t>
  </si>
  <si>
    <t xml:space="preserve">February 19 2026</t>
  </si>
  <si>
    <t xml:space="preserve">6,800</t>
  </si>
  <si>
    <t xml:space="preserve">R186</t>
  </si>
  <si>
    <t xml:space="preserve">FB-0517</t>
  </si>
  <si>
    <t xml:space="preserve">Sarah Soriano</t>
  </si>
  <si>
    <t xml:space="preserve"> Sarah.soriano@example.net</t>
  </si>
  <si>
    <t xml:space="preserve">0927 555 3394</t>
  </si>
  <si>
    <t xml:space="preserve">10-May-2024</t>
  </si>
  <si>
    <t xml:space="preserve">March 13 2025</t>
  </si>
  <si>
    <t xml:space="preserve">P980.00</t>
  </si>
  <si>
    <t xml:space="preserve">R187</t>
  </si>
  <si>
    <t xml:space="preserve">FB-0520</t>
  </si>
  <si>
    <t xml:space="preserve">liza rivera</t>
  </si>
  <si>
    <t xml:space="preserve">0920 555 5838</t>
  </si>
  <si>
    <t xml:space="preserve">August 17 2026</t>
  </si>
  <si>
    <t xml:space="preserve">₱1,440</t>
  </si>
  <si>
    <t xml:space="preserve">FB-0521</t>
  </si>
  <si>
    <t xml:space="preserve">queenie ilagan</t>
  </si>
  <si>
    <t xml:space="preserve">(0939) 555-9211</t>
  </si>
  <si>
    <t xml:space="preserve">Apr 22, 2024</t>
  </si>
  <si>
    <t xml:space="preserve">November 8 2025</t>
  </si>
  <si>
    <t xml:space="preserve">3,700</t>
  </si>
  <si>
    <t xml:space="preserve">FB-0523</t>
  </si>
  <si>
    <t xml:space="preserve">Xander Briones</t>
  </si>
  <si>
    <t xml:space="preserve">(0977) 555-3671</t>
  </si>
  <si>
    <t xml:space="preserve">Sep 21, 2024</t>
  </si>
  <si>
    <t xml:space="preserve">25-Dec-2025</t>
  </si>
  <si>
    <t xml:space="preserve">₱5,120</t>
  </si>
  <si>
    <t xml:space="preserve">R190</t>
  </si>
  <si>
    <t xml:space="preserve">FB-0525</t>
  </si>
  <si>
    <t xml:space="preserve">Mark Pascual</t>
  </si>
  <si>
    <t xml:space="preserve">MARK.PASCUAL@EXAMPLE.NET</t>
  </si>
  <si>
    <t xml:space="preserve">09455556863</t>
  </si>
  <si>
    <t xml:space="preserve">June 23 2025</t>
  </si>
  <si>
    <t xml:space="preserve">23-Jan-2026</t>
  </si>
  <si>
    <t xml:space="preserve">P2,870.00</t>
  </si>
  <si>
    <t xml:space="preserve">R191</t>
  </si>
  <si>
    <t xml:space="preserve">FB-0526</t>
  </si>
  <si>
    <t xml:space="preserve">Liza Vergara</t>
  </si>
  <si>
    <t xml:space="preserve">917 555 8967</t>
  </si>
  <si>
    <t xml:space="preserve">02-Aug-2025</t>
  </si>
  <si>
    <t xml:space="preserve">November 29 2025</t>
  </si>
  <si>
    <t xml:space="preserve">1,850</t>
  </si>
  <si>
    <t xml:space="preserve">R192</t>
  </si>
  <si>
    <t xml:space="preserve">POS-1182</t>
  </si>
  <si>
    <t xml:space="preserve">OSCAR QUIAMBAO</t>
  </si>
  <si>
    <t xml:space="preserve">oscar.quiambao@example.nte</t>
  </si>
  <si>
    <t xml:space="preserve">09285555585</t>
  </si>
  <si>
    <t xml:space="preserve">02/11/2024</t>
  </si>
  <si>
    <t xml:space="preserve">26/02/2026</t>
  </si>
  <si>
    <t xml:space="preserve">PHP 3,070</t>
  </si>
  <si>
    <t xml:space="preserve">POS-1183</t>
  </si>
  <si>
    <t xml:space="preserve">Flor Katigbak</t>
  </si>
  <si>
    <t xml:space="preserve">FLOR.KATIGBAK@EXAMPLE.COM</t>
  </si>
  <si>
    <t xml:space="preserve">09455555461</t>
  </si>
  <si>
    <t xml:space="preserve">26/02/2025</t>
  </si>
  <si>
    <t xml:space="preserve">28/06/2026</t>
  </si>
  <si>
    <t xml:space="preserve">8030</t>
  </si>
  <si>
    <t xml:space="preserve">R194</t>
  </si>
  <si>
    <t xml:space="preserve">POS-1187</t>
  </si>
  <si>
    <t xml:space="preserve">09615551499</t>
  </si>
  <si>
    <t xml:space="preserve">13/10/2025</t>
  </si>
  <si>
    <t xml:space="preserve">13/09/2026</t>
  </si>
  <si>
    <t xml:space="preserve">PHP 28,240</t>
  </si>
  <si>
    <t xml:space="preserve">POS-1189</t>
  </si>
  <si>
    <t xml:space="preserve">ZALDY KATIGBAK</t>
  </si>
  <si>
    <t xml:space="preserve">639395553566</t>
  </si>
  <si>
    <t xml:space="preserve">08/12/2025</t>
  </si>
  <si>
    <t xml:space="preserve">09/08/2026</t>
  </si>
  <si>
    <t xml:space="preserve">PHP 14,400</t>
  </si>
  <si>
    <t xml:space="preserve">POS-1193</t>
  </si>
  <si>
    <t xml:space="preserve">SAM BELMONTE</t>
  </si>
  <si>
    <t xml:space="preserve">639455554298</t>
  </si>
  <si>
    <t xml:space="preserve">Cam Norte</t>
  </si>
  <si>
    <t xml:space="preserve">01/09/2026</t>
  </si>
  <si>
    <t xml:space="preserve">PHP 1,240</t>
  </si>
  <si>
    <t xml:space="preserve">0</t>
  </si>
  <si>
    <t xml:space="preserve">POS-1196</t>
  </si>
  <si>
    <t xml:space="preserve">Francis Lualhati</t>
  </si>
  <si>
    <t xml:space="preserve">(0939) 555-1561</t>
  </si>
  <si>
    <t xml:space="preserve">Legaspi</t>
  </si>
  <si>
    <t xml:space="preserve">22/12/2023</t>
  </si>
  <si>
    <t xml:space="preserve">PHP 1,430</t>
  </si>
  <si>
    <t xml:space="preserve">R198</t>
  </si>
  <si>
    <t xml:space="preserve">POS-1199</t>
  </si>
  <si>
    <t xml:space="preserve">04/01/2026</t>
  </si>
  <si>
    <t xml:space="preserve">15/06/2026</t>
  </si>
  <si>
    <t xml:space="preserve">2960</t>
  </si>
  <si>
    <t xml:space="preserve">R199</t>
  </si>
  <si>
    <t xml:space="preserve">POS-1200</t>
  </si>
  <si>
    <t xml:space="preserve">LIZA RIVERA</t>
  </si>
  <si>
    <t xml:space="preserve">639205555838</t>
  </si>
  <si>
    <t xml:space="preserve">17/08/2026</t>
  </si>
  <si>
    <t xml:space="preserve">25/08/2026</t>
  </si>
  <si>
    <t xml:space="preserve">2870</t>
  </si>
  <si>
    <t xml:space="preserve">POS-1202</t>
  </si>
  <si>
    <t xml:space="preserve">TESS SORIANO</t>
  </si>
  <si>
    <t xml:space="preserve">(0954) 555-2665</t>
  </si>
  <si>
    <t xml:space="preserve">18/12/2023</t>
  </si>
  <si>
    <t xml:space="preserve">19/01/2026</t>
  </si>
  <si>
    <t xml:space="preserve">PHP 14,480</t>
  </si>
  <si>
    <t xml:space="preserve">R201</t>
  </si>
  <si>
    <t xml:space="preserve">POS-1204</t>
  </si>
  <si>
    <t xml:space="preserve">09/07/2024</t>
  </si>
  <si>
    <t xml:space="preserve">29/10/2025</t>
  </si>
  <si>
    <t xml:space="preserve">7140</t>
  </si>
  <si>
    <t xml:space="preserve">POS-1205</t>
  </si>
  <si>
    <t xml:space="preserve">ELMER LACSON</t>
  </si>
  <si>
    <t xml:space="preserve">ELACSON58@EXAMPLE.COM</t>
  </si>
  <si>
    <t xml:space="preserve">09545555659</t>
  </si>
  <si>
    <t xml:space="preserve">19/10/2024</t>
  </si>
  <si>
    <t xml:space="preserve">12/05/2026</t>
  </si>
  <si>
    <t xml:space="preserve">PHP 3,970</t>
  </si>
  <si>
    <t xml:space="preserve">POS-1207</t>
  </si>
  <si>
    <t xml:space="preserve">Irene Lim</t>
  </si>
  <si>
    <t xml:space="preserve">09545551150</t>
  </si>
  <si>
    <t xml:space="preserve">08/02/2025</t>
  </si>
  <si>
    <t xml:space="preserve">2760</t>
  </si>
  <si>
    <t xml:space="preserve">POS-1210</t>
  </si>
  <si>
    <t xml:space="preserve">Vince Roxas</t>
  </si>
  <si>
    <t xml:space="preserve">(0977) 555-2938</t>
  </si>
  <si>
    <t xml:space="preserve">30/10/2023</t>
  </si>
  <si>
    <t xml:space="preserve">03/08/2024</t>
  </si>
  <si>
    <t xml:space="preserve">PHP 4,580</t>
  </si>
  <si>
    <t xml:space="preserve">POS-1213</t>
  </si>
  <si>
    <t xml:space="preserve">Hannah Zamora</t>
  </si>
  <si>
    <t xml:space="preserve">HZAMORA70@EXAMPLE.ORG</t>
  </si>
  <si>
    <t xml:space="preserve">23/07/2025</t>
  </si>
  <si>
    <t xml:space="preserve">23/07/2026</t>
  </si>
  <si>
    <t xml:space="preserve">3380</t>
  </si>
  <si>
    <t xml:space="preserve">POS-1216</t>
  </si>
  <si>
    <t xml:space="preserve">RONALD DELA CRUZ</t>
  </si>
  <si>
    <t xml:space="preserve">0961-555-0859</t>
  </si>
  <si>
    <t xml:space="preserve">05/02/2025</t>
  </si>
  <si>
    <t xml:space="preserve">03/09/2026</t>
  </si>
  <si>
    <t xml:space="preserve">11020</t>
  </si>
  <si>
    <t xml:space="preserve">POS-1220</t>
  </si>
  <si>
    <t xml:space="preserve">Dolor Morales</t>
  </si>
  <si>
    <t xml:space="preserve">09175556173</t>
  </si>
  <si>
    <t xml:space="preserve">26/08/2026</t>
  </si>
  <si>
    <t xml:space="preserve">12/09/2026</t>
  </si>
  <si>
    <t xml:space="preserve">PHP 4,240</t>
  </si>
  <si>
    <t xml:space="preserve">POS-1223</t>
  </si>
  <si>
    <t xml:space="preserve">LARA FLORES</t>
  </si>
  <si>
    <t xml:space="preserve">639615552883</t>
  </si>
  <si>
    <t xml:space="preserve">13/01/2024</t>
  </si>
  <si>
    <t xml:space="preserve">13/08/2026</t>
  </si>
  <si>
    <t xml:space="preserve">7230</t>
  </si>
  <si>
    <t xml:space="preserve">POS-1225</t>
  </si>
  <si>
    <t xml:space="preserve">Erika Encarnacion</t>
  </si>
  <si>
    <t xml:space="preserve">eencarnacion73@example,com</t>
  </si>
  <si>
    <t xml:space="preserve">09545554918</t>
  </si>
  <si>
    <t xml:space="preserve">30/08/2024</t>
  </si>
  <si>
    <t xml:space="preserve">27/08/2026</t>
  </si>
  <si>
    <t xml:space="preserve">17900</t>
  </si>
  <si>
    <t xml:space="preserve">POS-1227</t>
  </si>
  <si>
    <t xml:space="preserve">IMELDA ROXAS</t>
  </si>
  <si>
    <t xml:space="preserve">09275550523</t>
  </si>
  <si>
    <t xml:space="preserve">30/05/2025</t>
  </si>
  <si>
    <t xml:space="preserve">02/06/2026</t>
  </si>
  <si>
    <t xml:space="preserve">PHP 13,550</t>
  </si>
  <si>
    <t xml:space="preserve">R211</t>
  </si>
  <si>
    <t xml:space="preserve">POS-1228</t>
  </si>
  <si>
    <t xml:space="preserve"> Ocortez73@example.net</t>
  </si>
  <si>
    <t xml:space="preserve">09/05/2025</t>
  </si>
  <si>
    <t xml:space="preserve">16/05/2026</t>
  </si>
  <si>
    <t xml:space="preserve">PHP 610</t>
  </si>
  <si>
    <t xml:space="preserve">POS-1231</t>
  </si>
  <si>
    <t xml:space="preserve">REY MORALES</t>
  </si>
  <si>
    <t xml:space="preserve">09175558652</t>
  </si>
  <si>
    <t xml:space="preserve">31/07/2026</t>
  </si>
  <si>
    <t xml:space="preserve">2690</t>
  </si>
  <si>
    <t xml:space="preserve">POS-1235</t>
  </si>
  <si>
    <t xml:space="preserve">Yna Encarnacion</t>
  </si>
  <si>
    <t xml:space="preserve">09455551557</t>
  </si>
  <si>
    <t xml:space="preserve">09/09/2026</t>
  </si>
  <si>
    <t xml:space="preserve">1790</t>
  </si>
  <si>
    <t xml:space="preserve">POS-1239</t>
  </si>
  <si>
    <t xml:space="preserve">Rica Panganiban</t>
  </si>
  <si>
    <t xml:space="preserve">639285553569</t>
  </si>
  <si>
    <t xml:space="preserve">04/01/2024</t>
  </si>
  <si>
    <t xml:space="preserve">09/12/2025</t>
  </si>
  <si>
    <t xml:space="preserve">4590</t>
  </si>
  <si>
    <t xml:space="preserve">POS-1243</t>
  </si>
  <si>
    <t xml:space="preserve">RODEL BRIONES</t>
  </si>
  <si>
    <t xml:space="preserve">RBRIONES86@EXAMPLE.NET</t>
  </si>
  <si>
    <t xml:space="preserve">0917-555-1913</t>
  </si>
  <si>
    <t xml:space="preserve">08/08/2026</t>
  </si>
  <si>
    <t xml:space="preserve">22/09/2026</t>
  </si>
  <si>
    <t xml:space="preserve">PHP 3,360</t>
  </si>
  <si>
    <t xml:space="preserve">POS-1244</t>
  </si>
  <si>
    <t xml:space="preserve">Aira Pascual</t>
  </si>
  <si>
    <t xml:space="preserve">aira.pascual@example,com</t>
  </si>
  <si>
    <t xml:space="preserve">12/06/2023</t>
  </si>
  <si>
    <t xml:space="preserve">02/02/2026</t>
  </si>
  <si>
    <t xml:space="preserve">PHP 3,320</t>
  </si>
  <si>
    <t xml:space="preserve">R217</t>
  </si>
  <si>
    <t xml:space="preserve">POS-1247</t>
  </si>
  <si>
    <t xml:space="preserve">Liza Cabrera</t>
  </si>
  <si>
    <t xml:space="preserve">LIZA.CABRERA@EXAMPLE.COM</t>
  </si>
  <si>
    <t xml:space="preserve">(0954) 555-0408</t>
  </si>
  <si>
    <t xml:space="preserve">11/08/2025</t>
  </si>
  <si>
    <t xml:space="preserve">08/09/2026</t>
  </si>
  <si>
    <t xml:space="preserve">PHP 1,000</t>
  </si>
  <si>
    <t xml:space="preserve">POS-1250</t>
  </si>
  <si>
    <t xml:space="preserve">Yna Cabrera</t>
  </si>
  <si>
    <t xml:space="preserve">639175551504</t>
  </si>
  <si>
    <t xml:space="preserve">18/09/2026</t>
  </si>
  <si>
    <t xml:space="preserve">2540</t>
  </si>
  <si>
    <t xml:space="preserve">POS-1254</t>
  </si>
  <si>
    <t xml:space="preserve">Edwin Salazar</t>
  </si>
  <si>
    <t xml:space="preserve">639955552976</t>
  </si>
  <si>
    <t xml:space="preserve">16/03/2024</t>
  </si>
  <si>
    <t xml:space="preserve">45380</t>
  </si>
  <si>
    <t xml:space="preserve">R220</t>
  </si>
  <si>
    <t xml:space="preserve">POS-1255</t>
  </si>
  <si>
    <t xml:space="preserve">0927-555-8919</t>
  </si>
  <si>
    <t xml:space="preserve">28/04/2025</t>
  </si>
  <si>
    <t xml:space="preserve">22/04/2026</t>
  </si>
  <si>
    <t xml:space="preserve">PHP 1,650</t>
  </si>
  <si>
    <t xml:space="preserve">POS-1259</t>
  </si>
  <si>
    <t xml:space="preserve">Nico Cruz</t>
  </si>
  <si>
    <t xml:space="preserve">0961-555-7374</t>
  </si>
  <si>
    <t xml:space="preserve">18/07/2026</t>
  </si>
  <si>
    <t xml:space="preserve">PHP 1,500</t>
  </si>
  <si>
    <t xml:space="preserve">R222</t>
  </si>
  <si>
    <t xml:space="preserve">POS-1262</t>
  </si>
  <si>
    <t xml:space="preserve">erika.yap@example.com </t>
  </si>
  <si>
    <t xml:space="preserve">0995-555-6049</t>
  </si>
  <si>
    <t xml:space="preserve">21/12/2025</t>
  </si>
  <si>
    <t xml:space="preserve">07/05/2026</t>
  </si>
  <si>
    <t xml:space="preserve">1740</t>
  </si>
  <si>
    <t xml:space="preserve">POS-1266</t>
  </si>
  <si>
    <t xml:space="preserve">Clara Flores</t>
  </si>
  <si>
    <t xml:space="preserve">CLARA.FLORES@EXAMPLE.COM</t>
  </si>
  <si>
    <t xml:space="preserve">(0919) 555-5118</t>
  </si>
  <si>
    <t xml:space="preserve">15/11/2025</t>
  </si>
  <si>
    <t xml:space="preserve">04/07/2026</t>
  </si>
  <si>
    <t xml:space="preserve">9900</t>
  </si>
  <si>
    <t xml:space="preserve">POS-1268</t>
  </si>
  <si>
    <t xml:space="preserve">Owen Galang</t>
  </si>
  <si>
    <t xml:space="preserve">owen.galang@example.nte</t>
  </si>
  <si>
    <t xml:space="preserve">(0927) 555-1033</t>
  </si>
  <si>
    <t xml:space="preserve">31/10/2023</t>
  </si>
  <si>
    <t xml:space="preserve">13/05/2026</t>
  </si>
  <si>
    <t xml:space="preserve">PHP 14,320</t>
  </si>
  <si>
    <t xml:space="preserve">POS-1271</t>
  </si>
  <si>
    <t xml:space="preserve">Joy Dimaculangan</t>
  </si>
  <si>
    <t xml:space="preserve">09775559905</t>
  </si>
  <si>
    <t xml:space="preserve">30/04/2024</t>
  </si>
  <si>
    <t xml:space="preserve">12/10/2025</t>
  </si>
  <si>
    <t xml:space="preserve">PHP 10,060</t>
  </si>
  <si>
    <t xml:space="preserve">R226</t>
  </si>
  <si>
    <t xml:space="preserve">POS-1272</t>
  </si>
  <si>
    <t xml:space="preserve">JEROME OCAMPO</t>
  </si>
  <si>
    <t xml:space="preserve">jerome.ocampo@mail.example.com </t>
  </si>
  <si>
    <t xml:space="preserve">(0927) 555-4463</t>
  </si>
  <si>
    <t xml:space="preserve">08/09/2024</t>
  </si>
  <si>
    <t xml:space="preserve">29/12/2025</t>
  </si>
  <si>
    <t xml:space="preserve">1890</t>
  </si>
  <si>
    <t xml:space="preserve">R227</t>
  </si>
  <si>
    <t xml:space="preserve">POS-1273</t>
  </si>
  <si>
    <t xml:space="preserve">09955553099</t>
  </si>
  <si>
    <t xml:space="preserve">05/02/2024</t>
  </si>
  <si>
    <t xml:space="preserve">PHP 8,820</t>
  </si>
  <si>
    <t xml:space="preserve">POS-1275</t>
  </si>
  <si>
    <t xml:space="preserve">Ronald Nolasco</t>
  </si>
  <si>
    <t xml:space="preserve">(0961) 555-8956</t>
  </si>
  <si>
    <t xml:space="preserve">11/08/2023</t>
  </si>
  <si>
    <t xml:space="preserve">31/08/2026</t>
  </si>
  <si>
    <t xml:space="preserve">23280</t>
  </si>
  <si>
    <t xml:space="preserve">R229</t>
  </si>
  <si>
    <t xml:space="preserve">POS-1279</t>
  </si>
  <si>
    <t xml:space="preserve">Jessa Mendoza</t>
  </si>
  <si>
    <t xml:space="preserve"> Jmendoza32@example.com</t>
  </si>
  <si>
    <t xml:space="preserve">639775550698</t>
  </si>
  <si>
    <t xml:space="preserve">09/03/2025</t>
  </si>
  <si>
    <t xml:space="preserve">PHP 3,860</t>
  </si>
  <si>
    <t xml:space="preserve">R230</t>
  </si>
  <si>
    <t xml:space="preserve">POS-1282</t>
  </si>
  <si>
    <t xml:space="preserve">KRISTINE ILAGAN</t>
  </si>
  <si>
    <t xml:space="preserve">09195555117</t>
  </si>
  <si>
    <t xml:space="preserve">10/03/2024</t>
  </si>
  <si>
    <t xml:space="preserve">04/05/2024</t>
  </si>
  <si>
    <t xml:space="preserve">3600</t>
  </si>
  <si>
    <t xml:space="preserve">R231</t>
  </si>
  <si>
    <t xml:space="preserve">POS-1283</t>
  </si>
  <si>
    <t xml:space="preserve">29/05/2025</t>
  </si>
  <si>
    <t xml:space="preserve">19/11/2025</t>
  </si>
  <si>
    <t xml:space="preserve">1650</t>
  </si>
  <si>
    <t xml:space="preserve">R232</t>
  </si>
  <si>
    <t xml:space="preserve">POS-1285</t>
  </si>
  <si>
    <t xml:space="preserve">OLIVE TOLENTINO</t>
  </si>
  <si>
    <t xml:space="preserve">0918-555-9211</t>
  </si>
  <si>
    <t xml:space="preserve">16/10/2025</t>
  </si>
  <si>
    <t xml:space="preserve">25/09/2026</t>
  </si>
  <si>
    <t xml:space="preserve">PHP 8,030</t>
  </si>
  <si>
    <t xml:space="preserve">R233</t>
  </si>
  <si>
    <t xml:space="preserve">POS-1286</t>
  </si>
  <si>
    <t xml:space="preserve"> Jessa.encarnacion@example.com</t>
  </si>
  <si>
    <t xml:space="preserve">09285558102</t>
  </si>
  <si>
    <t xml:space="preserve">06/08/2025</t>
  </si>
  <si>
    <t xml:space="preserve">24/06/2026</t>
  </si>
  <si>
    <t xml:space="preserve">6530</t>
  </si>
  <si>
    <t xml:space="preserve">R234</t>
  </si>
  <si>
    <t xml:space="preserve">POS-1288</t>
  </si>
  <si>
    <t xml:space="preserve">LIZA VERGARA</t>
  </si>
  <si>
    <t xml:space="preserve">09175558967</t>
  </si>
  <si>
    <t xml:space="preserve">14/12/2025</t>
  </si>
  <si>
    <t xml:space="preserve">27/05/2026</t>
  </si>
  <si>
    <t xml:space="preserve">7410</t>
  </si>
  <si>
    <t xml:space="preserve">R235</t>
  </si>
  <si>
    <t xml:space="preserve">POS-1289</t>
  </si>
  <si>
    <t xml:space="preserve">PATRICK ZAMORA</t>
  </si>
  <si>
    <t xml:space="preserve">patrick.zamora@example.com </t>
  </si>
  <si>
    <t xml:space="preserve">(0918) 555-5999</t>
  </si>
  <si>
    <t xml:space="preserve">22/05/2025</t>
  </si>
  <si>
    <t xml:space="preserve">03/06/2026</t>
  </si>
  <si>
    <t xml:space="preserve">PHP 5,560</t>
  </si>
  <si>
    <t xml:space="preserve">R236</t>
  </si>
  <si>
    <t xml:space="preserve">POS-1291</t>
  </si>
  <si>
    <t xml:space="preserve">27/06/2025</t>
  </si>
  <si>
    <t xml:space="preserve">16/06/2026</t>
  </si>
  <si>
    <t xml:space="preserve">PHP 690</t>
  </si>
  <si>
    <t xml:space="preserve">POS-1293</t>
  </si>
  <si>
    <t xml:space="preserve">MIA FERNANDEZ</t>
  </si>
  <si>
    <t xml:space="preserve">0927-555-4680</t>
  </si>
  <si>
    <t xml:space="preserve">13/10/2023</t>
  </si>
  <si>
    <t xml:space="preserve">08/06/2026</t>
  </si>
  <si>
    <t xml:space="preserve">PHP 24,400</t>
  </si>
  <si>
    <t xml:space="preserve">R238</t>
  </si>
  <si>
    <t xml:space="preserve">POS-1297</t>
  </si>
  <si>
    <t xml:space="preserve">WENDY OBSUNA</t>
  </si>
  <si>
    <t xml:space="preserve">(0917) 555-1735</t>
  </si>
  <si>
    <t xml:space="preserve">10/08/2026</t>
  </si>
  <si>
    <t xml:space="preserve">PHP 1,610</t>
  </si>
  <si>
    <t xml:space="preserve">POS-1298</t>
  </si>
  <si>
    <t xml:space="preserve">Bernadette Obsuna</t>
  </si>
  <si>
    <t xml:space="preserve">09185558217</t>
  </si>
  <si>
    <t xml:space="preserve">03/02/2025</t>
  </si>
  <si>
    <t xml:space="preserve">08/05/2026</t>
  </si>
  <si>
    <t xml:space="preserve">PHP 11,190</t>
  </si>
  <si>
    <t xml:space="preserve">R240</t>
  </si>
  <si>
    <t xml:space="preserve">POS-1299</t>
  </si>
  <si>
    <t xml:space="preserve">09185559211</t>
  </si>
  <si>
    <t xml:space="preserve">R241</t>
  </si>
  <si>
    <t xml:space="preserve">POS-1303</t>
  </si>
  <si>
    <t xml:space="preserve">0998-555-7564</t>
  </si>
  <si>
    <t xml:space="preserve">29/03/2025</t>
  </si>
  <si>
    <t xml:space="preserve">02/01/2026</t>
  </si>
  <si>
    <t xml:space="preserve">POS-1305</t>
  </si>
  <si>
    <t xml:space="preserve">QUEENIE LUALHATI</t>
  </si>
  <si>
    <t xml:space="preserve">queenie.lualhati@example.con</t>
  </si>
  <si>
    <t xml:space="preserve">0945-555-3327</t>
  </si>
  <si>
    <t xml:space="preserve">15/08/2023</t>
  </si>
  <si>
    <t xml:space="preserve">11/03/2026</t>
  </si>
  <si>
    <t xml:space="preserve">4300</t>
  </si>
  <si>
    <t xml:space="preserve">POS-1309</t>
  </si>
  <si>
    <t xml:space="preserve">SARAH PASCUAL</t>
  </si>
  <si>
    <t xml:space="preserve">639985557907</t>
  </si>
  <si>
    <t xml:space="preserve">29/08/2023</t>
  </si>
  <si>
    <t xml:space="preserve">10/03/2026</t>
  </si>
  <si>
    <t xml:space="preserve">4580</t>
  </si>
  <si>
    <t xml:space="preserve">POS-1311</t>
  </si>
  <si>
    <t xml:space="preserve">Rafael Manalo</t>
  </si>
  <si>
    <t xml:space="preserve"> Rafael.manalo@example.com</t>
  </si>
  <si>
    <t xml:space="preserve">0961-555-6678</t>
  </si>
  <si>
    <t xml:space="preserve">08/03/2024</t>
  </si>
  <si>
    <t xml:space="preserve">PHP 20,100</t>
  </si>
  <si>
    <t xml:space="preserve">R245</t>
  </si>
  <si>
    <t xml:space="preserve">POS-1313</t>
  </si>
  <si>
    <t xml:space="preserve">CEDRIC FERNANDEZ</t>
  </si>
  <si>
    <t xml:space="preserve">24/11/2024</t>
  </si>
  <si>
    <t xml:space="preserve">28/08/2026</t>
  </si>
  <si>
    <t xml:space="preserve">PHP 20,550</t>
  </si>
  <si>
    <t xml:space="preserve">POS-1317</t>
  </si>
  <si>
    <t xml:space="preserve">Dolor Garcia</t>
  </si>
  <si>
    <t xml:space="preserve">DOLOR.GARCIA@MAIL.EXAMPLE.COM</t>
  </si>
  <si>
    <t xml:space="preserve">(0954) 555-7220</t>
  </si>
  <si>
    <t xml:space="preserve">10/08/2023</t>
  </si>
  <si>
    <t xml:space="preserve">PHP 8,810</t>
  </si>
  <si>
    <t xml:space="preserve">R247</t>
  </si>
  <si>
    <t xml:space="preserve">POS-1319</t>
  </si>
  <si>
    <t xml:space="preserve">Nico Vergara</t>
  </si>
  <si>
    <t xml:space="preserve">27/04/2026</t>
  </si>
  <si>
    <t xml:space="preserve">06/07/2026</t>
  </si>
  <si>
    <t xml:space="preserve">PHP 2,770</t>
  </si>
  <si>
    <t xml:space="preserve">POS-1323</t>
  </si>
  <si>
    <t xml:space="preserve">VINCE NOLASCO</t>
  </si>
  <si>
    <t xml:space="preserve">(0917) 555-0248</t>
  </si>
  <si>
    <t xml:space="preserve">18/01/2025</t>
  </si>
  <si>
    <t xml:space="preserve">13/06/2026</t>
  </si>
  <si>
    <t xml:space="preserve">PHP 14,350</t>
  </si>
  <si>
    <t xml:space="preserve">R249</t>
  </si>
  <si>
    <t xml:space="preserve">POS-1327</t>
  </si>
  <si>
    <t xml:space="preserve">HANNAH OCAMPO</t>
  </si>
  <si>
    <t xml:space="preserve">23/08/2026</t>
  </si>
  <si>
    <t xml:space="preserve">PHP 770</t>
  </si>
  <si>
    <t xml:space="preserve">R250</t>
  </si>
  <si>
    <t xml:space="preserve">POS-1331</t>
  </si>
  <si>
    <t xml:space="preserve">ELMER TOLENTINO</t>
  </si>
  <si>
    <t xml:space="preserve">ELMER.TOLENTINO@EXAMPLE.COM</t>
  </si>
  <si>
    <t xml:space="preserve">(0939) 555-6594</t>
  </si>
  <si>
    <t xml:space="preserve">15/07/2024</t>
  </si>
  <si>
    <t xml:space="preserve">30/10/2024</t>
  </si>
  <si>
    <t xml:space="preserve">1840</t>
  </si>
  <si>
    <t xml:space="preserve">POS-1333</t>
  </si>
  <si>
    <t xml:space="preserve">Ella Cruz</t>
  </si>
  <si>
    <t xml:space="preserve">639545559220</t>
  </si>
  <si>
    <t xml:space="preserve">02/02/2024</t>
  </si>
  <si>
    <t xml:space="preserve">29/11/2025</t>
  </si>
  <si>
    <t xml:space="preserve">PHP 13,090</t>
  </si>
  <si>
    <t xml:space="preserve">R252</t>
  </si>
  <si>
    <t xml:space="preserve">POS-1335</t>
  </si>
  <si>
    <t xml:space="preserve">(0939) 555-7626</t>
  </si>
  <si>
    <t xml:space="preserve">03/04/2024</t>
  </si>
  <si>
    <t xml:space="preserve">16/03/2025</t>
  </si>
  <si>
    <t xml:space="preserve">PHP 1,970</t>
  </si>
  <si>
    <t xml:space="preserve">R253</t>
  </si>
  <si>
    <t xml:space="preserve">POS-1336</t>
  </si>
  <si>
    <t xml:space="preserve">(0954) 555-5696</t>
  </si>
  <si>
    <t xml:space="preserve">02/07/2026</t>
  </si>
  <si>
    <t xml:space="preserve">1470</t>
  </si>
  <si>
    <t xml:space="preserve">POS-1337</t>
  </si>
  <si>
    <t xml:space="preserve">Bea Tamayo</t>
  </si>
  <si>
    <t xml:space="preserve">0928-555-6937</t>
  </si>
  <si>
    <t xml:space="preserve">15/08/2024</t>
  </si>
  <si>
    <t xml:space="preserve">16/07/2026</t>
  </si>
  <si>
    <t xml:space="preserve">PHP 3,250</t>
  </si>
  <si>
    <t xml:space="preserve">POS-1339</t>
  </si>
  <si>
    <t xml:space="preserve">IRENE EVANGELISTA</t>
  </si>
  <si>
    <t xml:space="preserve">09205558110</t>
  </si>
  <si>
    <t xml:space="preserve">28/04/2024</t>
  </si>
  <si>
    <t xml:space="preserve">30/06/2026</t>
  </si>
  <si>
    <t xml:space="preserve">11260</t>
  </si>
  <si>
    <t xml:space="preserve">POS-1340</t>
  </si>
  <si>
    <t xml:space="preserve">Gemma Navarro</t>
  </si>
  <si>
    <t xml:space="preserve">639615552518</t>
  </si>
  <si>
    <t xml:space="preserve">21/01/2024</t>
  </si>
  <si>
    <t xml:space="preserve">19/06/2024</t>
  </si>
  <si>
    <t xml:space="preserve">1510</t>
  </si>
  <si>
    <t xml:space="preserve">R257</t>
  </si>
  <si>
    <t xml:space="preserve">POS-1343</t>
  </si>
  <si>
    <t xml:space="preserve">WENDY DIMACULANGAN</t>
  </si>
  <si>
    <t xml:space="preserve">639285556822</t>
  </si>
  <si>
    <t xml:space="preserve">04/04/2024</t>
  </si>
  <si>
    <t xml:space="preserve">23/11/2024</t>
  </si>
  <si>
    <t xml:space="preserve">1830</t>
  </si>
  <si>
    <t xml:space="preserve">R258</t>
  </si>
  <si>
    <t xml:space="preserve">POS-1347</t>
  </si>
  <si>
    <t xml:space="preserve">(0919) 555-0148</t>
  </si>
  <si>
    <t xml:space="preserve">20/01/2025</t>
  </si>
  <si>
    <t xml:space="preserve">16/04/2026</t>
  </si>
  <si>
    <t xml:space="preserve">PHP 8,070</t>
  </si>
  <si>
    <t xml:space="preserve">R259</t>
  </si>
  <si>
    <t xml:space="preserve">POS-1349</t>
  </si>
  <si>
    <t xml:space="preserve">MARK PASCUAL</t>
  </si>
  <si>
    <t xml:space="preserve">mark.pascual@example.net </t>
  </si>
  <si>
    <t xml:space="preserve">639455556863</t>
  </si>
  <si>
    <t xml:space="preserve">30/12/2024</t>
  </si>
  <si>
    <t xml:space="preserve">03/06/2025</t>
  </si>
  <si>
    <t xml:space="preserve">1440</t>
  </si>
  <si>
    <t xml:space="preserve">R260</t>
  </si>
  <si>
    <t xml:space="preserve">POS-1351</t>
  </si>
  <si>
    <t xml:space="preserve">Wendy Obsuna</t>
  </si>
  <si>
    <t xml:space="preserve">WENDY.OBSUNA@EXAMPLE.NET</t>
  </si>
  <si>
    <t xml:space="preserve">1610</t>
  </si>
  <si>
    <t xml:space="preserve">R261</t>
  </si>
  <si>
    <t xml:space="preserve">POS-1352</t>
  </si>
  <si>
    <t xml:space="preserve">639985557073</t>
  </si>
  <si>
    <t xml:space="preserve">10/02/2025</t>
  </si>
  <si>
    <t xml:space="preserve">25/08/2025</t>
  </si>
  <si>
    <t xml:space="preserve">13430</t>
  </si>
  <si>
    <t xml:space="preserve">POS-1354</t>
  </si>
  <si>
    <t xml:space="preserve">ODETTE SORIANO</t>
  </si>
  <si>
    <t xml:space="preserve">0961-555-9952</t>
  </si>
  <si>
    <t xml:space="preserve">04/01/2025</t>
  </si>
  <si>
    <t xml:space="preserve">29/08/2026</t>
  </si>
  <si>
    <t xml:space="preserve">PHP 16,970</t>
  </si>
  <si>
    <t xml:space="preserve">POS-1358</t>
  </si>
  <si>
    <t xml:space="preserve">MARITES ORDONEZ</t>
  </si>
  <si>
    <t xml:space="preserve">0995-555-9934</t>
  </si>
  <si>
    <t xml:space="preserve">06/09/2026</t>
  </si>
  <si>
    <t xml:space="preserve">5300</t>
  </si>
  <si>
    <t xml:space="preserve">R264</t>
  </si>
  <si>
    <t xml:space="preserve">POS-1360</t>
  </si>
  <si>
    <t xml:space="preserve">639615558712</t>
  </si>
  <si>
    <t xml:space="preserve">10/11/2023</t>
  </si>
  <si>
    <t xml:space="preserve">17/09/2024</t>
  </si>
  <si>
    <t xml:space="preserve">1800</t>
  </si>
  <si>
    <t xml:space="preserve">POS-1363</t>
  </si>
  <si>
    <t xml:space="preserve">Hazel Roxas</t>
  </si>
  <si>
    <t xml:space="preserve">(0920) 555-3395</t>
  </si>
  <si>
    <t xml:space="preserve">25/08/2024</t>
  </si>
  <si>
    <t xml:space="preserve">13/08/2025</t>
  </si>
  <si>
    <t xml:space="preserve">PHP 8,500</t>
  </si>
  <si>
    <t xml:space="preserve">R266</t>
  </si>
  <si>
    <t xml:space="preserve">POS-1366</t>
  </si>
  <si>
    <t xml:space="preserve">LARA DIMACULANGAN</t>
  </si>
  <si>
    <t xml:space="preserve">LARA.DIMACULANGAN@EXAMPLE.COM</t>
  </si>
  <si>
    <t xml:space="preserve">(0920) 555-3100</t>
  </si>
  <si>
    <t xml:space="preserve">01/03/2026</t>
  </si>
  <si>
    <t xml:space="preserve">10/05/2026</t>
  </si>
  <si>
    <t xml:space="preserve">PHP 1,070</t>
  </si>
  <si>
    <t xml:space="preserve">POS-1369</t>
  </si>
  <si>
    <t xml:space="preserve">BIANCA TOLENTINO</t>
  </si>
  <si>
    <t xml:space="preserve">09455558231</t>
  </si>
  <si>
    <t xml:space="preserve">20/06/2025</t>
  </si>
  <si>
    <t xml:space="preserve">PHP 6,100</t>
  </si>
  <si>
    <t xml:space="preserve">R268</t>
  </si>
  <si>
    <t xml:space="preserve">POS-1372</t>
  </si>
  <si>
    <t xml:space="preserve">HANNAH GALANG</t>
  </si>
  <si>
    <t xml:space="preserve">0954-555-8277</t>
  </si>
  <si>
    <t xml:space="preserve">31/08/2024</t>
  </si>
  <si>
    <t xml:space="preserve">10/03/2025</t>
  </si>
  <si>
    <t xml:space="preserve">PHP 2,930</t>
  </si>
  <si>
    <t xml:space="preserve">#</t>
  </si>
  <si>
    <t xml:space="preserve">Field</t>
  </si>
  <si>
    <t xml:space="preserve">Before (as received)</t>
  </si>
  <si>
    <t xml:space="preserve">After (clean)</t>
  </si>
  <si>
    <t xml:space="preserve">Rule Applied</t>
  </si>
  <si>
    <t xml:space="preserve">Full name</t>
  </si>
  <si>
    <t xml:space="preserve">Cathy Villanueva</t>
  </si>
  <si>
    <t xml:space="preserve">Extra spaces removed, proper case</t>
  </si>
  <si>
    <t xml:space="preserve">One format: +63 9XX XXX XXXX</t>
  </si>
  <si>
    <t xml:space="preserve">One spelling per city</t>
  </si>
  <si>
    <t xml:space="preserve">First order</t>
  </si>
  <si>
    <t xml:space="preserve">Mar 6, 2024</t>
  </si>
  <si>
    <t xml:space="preserve">Text changed to a real date</t>
  </si>
  <si>
    <t xml:space="preserve">Last order</t>
  </si>
  <si>
    <t xml:space="preserve">Jul 18, 2026</t>
  </si>
  <si>
    <t xml:space="preserve">Total spent</t>
  </si>
  <si>
    <t xml:space="preserve">4350</t>
  </si>
  <si>
    <t xml:space="preserve">Currency text changed to a number</t>
  </si>
  <si>
    <t xml:space="preserve">Yes or No only</t>
  </si>
  <si>
    <t xml:space="preserve">Sep 14, 2023</t>
  </si>
  <si>
    <t xml:space="preserve">Sep 21, 2026</t>
  </si>
  <si>
    <t xml:space="preserve">28050</t>
  </si>
  <si>
    <t xml:space="preserve">Sep 7, 2023</t>
  </si>
  <si>
    <t xml:space="preserve">Jun 21, 2026</t>
  </si>
  <si>
    <t xml:space="preserve">22620</t>
  </si>
  <si>
    <t xml:space="preserve">Dec 10, 2024</t>
  </si>
  <si>
    <t xml:space="preserve">Feb 3, 2026</t>
  </si>
  <si>
    <t xml:space="preserve">1770</t>
  </si>
  <si>
    <t xml:space="preserve">Full province name</t>
  </si>
  <si>
    <t xml:space="preserve">Jun 16, 2023</t>
  </si>
  <si>
    <t xml:space="preserve">May 27, 2024</t>
  </si>
  <si>
    <t xml:space="preserve">1780</t>
  </si>
  <si>
    <t xml:space="preserve">Feb 19, 2025</t>
  </si>
  <si>
    <t xml:space="preserve">Jul 19, 2026</t>
  </si>
  <si>
    <t xml:space="preserve">11070</t>
  </si>
  <si>
    <t xml:space="preserve">Lowercase, spaces removed</t>
  </si>
  <si>
    <t xml:space="preserve">Feb 21, 2024</t>
  </si>
  <si>
    <t xml:space="preserve">Feb 15, 2025</t>
  </si>
  <si>
    <t xml:space="preserve">35990</t>
  </si>
  <si>
    <t xml:space="preserve">Sarah Hidalgo</t>
  </si>
  <si>
    <t xml:space="preserve">May 26, 2024</t>
  </si>
  <si>
    <t xml:space="preserve">Aug 24, 2026</t>
  </si>
  <si>
    <t xml:space="preserve">5830</t>
  </si>
  <si>
    <t xml:space="preserve">Domain typo corrected</t>
  </si>
  <si>
    <t xml:space="preserve">Jul 15, 2023</t>
  </si>
  <si>
    <t xml:space="preserve">920</t>
  </si>
  <si>
    <t xml:space="preserve">Feb 23, 2024</t>
  </si>
  <si>
    <t xml:space="preserve">Jun 12, 2026</t>
  </si>
  <si>
    <t xml:space="preserve">19740</t>
  </si>
  <si>
    <t xml:space="preserve">Jun 20, 2025</t>
  </si>
  <si>
    <t xml:space="preserve">3290</t>
  </si>
  <si>
    <t xml:space="preserve">Jan 18, 2024</t>
  </si>
  <si>
    <t xml:space="preserve">Oct 5, 2025</t>
  </si>
  <si>
    <t xml:space="preserve">2850</t>
  </si>
  <si>
    <t xml:space="preserve">Feb 26, 2026</t>
  </si>
  <si>
    <t xml:space="preserve">Sep 4, 2026</t>
  </si>
  <si>
    <t xml:space="preserve">11360</t>
  </si>
  <si>
    <t xml:space="preserve">Dec 13, 2023</t>
  </si>
  <si>
    <t xml:space="preserve">Jan 30, 2025</t>
  </si>
  <si>
    <t xml:space="preserve">3250</t>
  </si>
  <si>
    <t xml:space="preserve">Jun 19, 2023</t>
  </si>
  <si>
    <t xml:space="preserve">13300</t>
  </si>
  <si>
    <t xml:space="preserve">Gio Robles</t>
  </si>
  <si>
    <t xml:space="preserve">Proper case</t>
  </si>
  <si>
    <t xml:space="preserve">Nov 8, 2024</t>
  </si>
  <si>
    <t xml:space="preserve">Jul 10, 2026</t>
  </si>
  <si>
    <t xml:space="preserve">8520</t>
  </si>
  <si>
    <t xml:space="preserve">Apr 20, 2025</t>
  </si>
  <si>
    <t xml:space="preserve">Jun 17, 2026</t>
  </si>
  <si>
    <t xml:space="preserve">6880</t>
  </si>
  <si>
    <t xml:space="preserve">Feb 14, 2024</t>
  </si>
  <si>
    <t xml:space="preserve">Jul 28, 2025</t>
  </si>
  <si>
    <t xml:space="preserve">3400</t>
  </si>
  <si>
    <t xml:space="preserve">Apr 30, 2023</t>
  </si>
  <si>
    <t xml:space="preserve">Jun 3, 2024</t>
  </si>
  <si>
    <t xml:space="preserve">2010</t>
  </si>
  <si>
    <t xml:space="preserve">Apr 25, 2025</t>
  </si>
  <si>
    <t xml:space="preserve">Dec 25, 2025</t>
  </si>
  <si>
    <t xml:space="preserve">6380</t>
  </si>
  <si>
    <t xml:space="preserve">Wendy Cortez</t>
  </si>
  <si>
    <t xml:space="preserve">Jan 8, 2025</t>
  </si>
  <si>
    <t xml:space="preserve">May 14, 2025</t>
  </si>
  <si>
    <t xml:space="preserve">May 4, 2025</t>
  </si>
  <si>
    <t xml:space="preserve">Nov 21, 2025</t>
  </si>
  <si>
    <t xml:space="preserve">4280</t>
  </si>
  <si>
    <t xml:space="preserve">Apr 11, 2024</t>
  </si>
  <si>
    <t xml:space="preserve">Apr 29, 2024</t>
  </si>
  <si>
    <t xml:space="preserve">Precious Roxas</t>
  </si>
  <si>
    <t xml:space="preserve">Jul 6, 2024</t>
  </si>
  <si>
    <t xml:space="preserve">Apr 17, 2026</t>
  </si>
  <si>
    <t xml:space="preserve">20510</t>
  </si>
  <si>
    <t xml:space="preserve">Mar 5, 2024</t>
  </si>
  <si>
    <t xml:space="preserve">21140</t>
  </si>
  <si>
    <t xml:space="preserve">Mar 15, 2024</t>
  </si>
  <si>
    <t xml:space="preserve">Jun 27, 2024</t>
  </si>
  <si>
    <t xml:space="preserve">1880</t>
  </si>
  <si>
    <t xml:space="preserve">Mar 19, 2024</t>
  </si>
  <si>
    <t xml:space="preserve">Feb 16, 2025</t>
  </si>
  <si>
    <t xml:space="preserve">2950</t>
  </si>
  <si>
    <t xml:space="preserve">Oct 7, 2023</t>
  </si>
  <si>
    <t xml:space="preserve">Jun 4, 2026</t>
  </si>
  <si>
    <t xml:space="preserve">21010</t>
  </si>
  <si>
    <t xml:space="preserve">Jun 27, 2023</t>
  </si>
  <si>
    <t xml:space="preserve">Aug 22, 2023</t>
  </si>
  <si>
    <t xml:space="preserve">6080</t>
  </si>
  <si>
    <t xml:space="preserve">Apr 27, 2025</t>
  </si>
  <si>
    <t xml:space="preserve">Jul 8, 2026</t>
  </si>
  <si>
    <t xml:space="preserve">3420</t>
  </si>
  <si>
    <t xml:space="preserve">Nov 1, 2023</t>
  </si>
  <si>
    <t xml:space="preserve">Sep 14, 2026</t>
  </si>
  <si>
    <t xml:space="preserve">8010</t>
  </si>
  <si>
    <t xml:space="preserve">May 11, 2024</t>
  </si>
  <si>
    <t xml:space="preserve">Jul 27, 2024</t>
  </si>
  <si>
    <t xml:space="preserve">Apr 16, 2024</t>
  </si>
  <si>
    <t xml:space="preserve">21880</t>
  </si>
  <si>
    <t xml:space="preserve">Dec 5, 2023</t>
  </si>
  <si>
    <t xml:space="preserve">35150</t>
  </si>
  <si>
    <t xml:space="preserve">Aug 25, 2025</t>
  </si>
  <si>
    <t xml:space="preserve">Dec 20, 2025</t>
  </si>
  <si>
    <t xml:space="preserve">Nov 12, 2024</t>
  </si>
  <si>
    <t xml:space="preserve">Apr 9, 2025</t>
  </si>
  <si>
    <t xml:space="preserve">5500</t>
  </si>
  <si>
    <t xml:space="preserve">Tess Torres</t>
  </si>
  <si>
    <t xml:space="preserve">Oct 26, 2024</t>
  </si>
  <si>
    <t xml:space="preserve">900</t>
  </si>
  <si>
    <t xml:space="preserve">Dolor Marquez</t>
  </si>
  <si>
    <t xml:space="preserve">Sep 25, 2026</t>
  </si>
  <si>
    <t xml:space="preserve">5560</t>
  </si>
  <si>
    <t xml:space="preserve">Tristan Morales</t>
  </si>
  <si>
    <t xml:space="preserve">Sep 6, 2023</t>
  </si>
  <si>
    <t xml:space="preserve">Oct 25, 2025</t>
  </si>
  <si>
    <t xml:space="preserve">5520</t>
  </si>
  <si>
    <t xml:space="preserve">Jul 31, 2026</t>
  </si>
  <si>
    <t xml:space="preserve">880</t>
  </si>
  <si>
    <t xml:space="preserve">Apr 9, 2024</t>
  </si>
  <si>
    <t xml:space="preserve">Jun 19, 2025</t>
  </si>
  <si>
    <t xml:space="preserve">3800</t>
  </si>
  <si>
    <t xml:space="preserve">Mar 24, 2024</t>
  </si>
  <si>
    <t xml:space="preserve">Mar 18, 2026</t>
  </si>
  <si>
    <t xml:space="preserve">6910</t>
  </si>
  <si>
    <t xml:space="preserve">Pauline Gonzales</t>
  </si>
  <si>
    <t xml:space="preserve">Sep 12, 2026</t>
  </si>
  <si>
    <t xml:space="preserve">3360</t>
  </si>
  <si>
    <t xml:space="preserve">May 30, 2023</t>
  </si>
  <si>
    <t xml:space="preserve">Jun 20, 2024</t>
  </si>
  <si>
    <t xml:space="preserve">3200</t>
  </si>
  <si>
    <t xml:space="preserve">Aug 12, 2025</t>
  </si>
  <si>
    <t xml:space="preserve">Sep 2, 2026</t>
  </si>
  <si>
    <t xml:space="preserve">2180</t>
  </si>
  <si>
    <t xml:space="preserve">Jan 23, 2025</t>
  </si>
  <si>
    <t xml:space="preserve">Jun 28, 2026</t>
  </si>
  <si>
    <t xml:space="preserve">2190</t>
  </si>
  <si>
    <t xml:space="preserve">Feb 18, 2024</t>
  </si>
  <si>
    <t xml:space="preserve">Nov 13, 2025</t>
  </si>
  <si>
    <t xml:space="preserve">4780</t>
  </si>
  <si>
    <t xml:space="preserve">Jul 27, 2023</t>
  </si>
  <si>
    <t xml:space="preserve">Mar 17, 2025</t>
  </si>
  <si>
    <t xml:space="preserve">1940</t>
  </si>
  <si>
    <t xml:space="preserve">May 6, 2024</t>
  </si>
  <si>
    <t xml:space="preserve">Aug 1, 2024</t>
  </si>
  <si>
    <t xml:space="preserve">2240</t>
  </si>
  <si>
    <t xml:space="preserve">Jun 6, 2025</t>
  </si>
  <si>
    <t xml:space="preserve">8300</t>
  </si>
  <si>
    <t xml:space="preserve">May 15, 2023</t>
  </si>
  <si>
    <t xml:space="preserve">Oct 9, 2024</t>
  </si>
  <si>
    <t xml:space="preserve">1480</t>
  </si>
  <si>
    <t xml:space="preserve">Lara Santos</t>
  </si>
  <si>
    <t xml:space="preserve">Jan 1, 2026</t>
  </si>
  <si>
    <t xml:space="preserve">Sep 23, 2026</t>
  </si>
  <si>
    <t xml:space="preserve">4920</t>
  </si>
  <si>
    <t xml:space="preserve">Jan 31, 2025</t>
  </si>
  <si>
    <t xml:space="preserve">7640</t>
  </si>
  <si>
    <t xml:space="preserve">Feb 10, 2024</t>
  </si>
  <si>
    <t xml:space="preserve">Jan 25, 2025</t>
  </si>
  <si>
    <t xml:space="preserve">1280</t>
  </si>
  <si>
    <t xml:space="preserve">Feb 21, 2025</t>
  </si>
  <si>
    <t xml:space="preserve">Nov 23, 2025</t>
  </si>
  <si>
    <t xml:space="preserve">2570</t>
  </si>
  <si>
    <t xml:space="preserve">Feb 22, 2025</t>
  </si>
  <si>
    <t xml:space="preserve">Oct 22, 2025</t>
  </si>
  <si>
    <t xml:space="preserve">6440</t>
  </si>
  <si>
    <t xml:space="preserve">Jul 9, 2026</t>
  </si>
  <si>
    <t xml:space="preserve">2590</t>
  </si>
  <si>
    <t xml:space="preserve">Jan 3, 2026</t>
  </si>
  <si>
    <t xml:space="preserve">Feb 22, 2026</t>
  </si>
  <si>
    <t xml:space="preserve">5390</t>
  </si>
  <si>
    <t xml:space="preserve">Nov 16, 2024</t>
  </si>
  <si>
    <t xml:space="preserve">Jul 17, 2025</t>
  </si>
  <si>
    <t xml:space="preserve">3230</t>
  </si>
  <si>
    <t xml:space="preserve">Nov 26, 2023</t>
  </si>
  <si>
    <t xml:space="preserve">Aug 19, 2026</t>
  </si>
  <si>
    <t xml:space="preserve">7940</t>
  </si>
  <si>
    <t xml:space="preserve">Jul 3, 2024</t>
  </si>
  <si>
    <t xml:space="preserve">Nov 3, 2024</t>
  </si>
  <si>
    <t xml:space="preserve">2290</t>
  </si>
  <si>
    <t xml:space="preserve">Wendy Tan</t>
  </si>
  <si>
    <t xml:space="preserve">Sep 27, 2023</t>
  </si>
  <si>
    <t xml:space="preserve">Aug 3, 2026</t>
  </si>
  <si>
    <t xml:space="preserve">7990</t>
  </si>
  <si>
    <t xml:space="preserve">Aug 2, 2025</t>
  </si>
  <si>
    <t xml:space="preserve">May 21, 2026</t>
  </si>
  <si>
    <t xml:space="preserve">3220</t>
  </si>
  <si>
    <t xml:space="preserve">Jul 21, 2025</t>
  </si>
  <si>
    <t xml:space="preserve">Apr 18, 2026</t>
  </si>
  <si>
    <t xml:space="preserve">Sep 19, 2025</t>
  </si>
  <si>
    <t xml:space="preserve">26850</t>
  </si>
  <si>
    <t xml:space="preserve">Apr 16, 2025</t>
  </si>
  <si>
    <t xml:space="preserve">Aug 6, 2026</t>
  </si>
  <si>
    <t xml:space="preserve">13280</t>
  </si>
  <si>
    <t xml:space="preserve">Oct 7, 2024</t>
  </si>
  <si>
    <t xml:space="preserve">Mar 14, 2026</t>
  </si>
  <si>
    <t xml:space="preserve">9450</t>
  </si>
  <si>
    <t xml:space="preserve">Jun 14, 2023</t>
  </si>
  <si>
    <t xml:space="preserve">38110</t>
  </si>
  <si>
    <t xml:space="preserve">Fritz Villanueva</t>
  </si>
  <si>
    <t xml:space="preserve">Jul 26, 2024</t>
  </si>
  <si>
    <t xml:space="preserve">May 18, 2026</t>
  </si>
  <si>
    <t xml:space="preserve">14320</t>
  </si>
  <si>
    <t xml:space="preserve">Oct 23, 2024</t>
  </si>
  <si>
    <t xml:space="preserve">Feb 18, 2026</t>
  </si>
  <si>
    <t xml:space="preserve">5990</t>
  </si>
  <si>
    <t xml:space="preserve">6450</t>
  </si>
  <si>
    <t xml:space="preserve">Apr 12, 2024</t>
  </si>
  <si>
    <t xml:space="preserve">Mar 20, 2025</t>
  </si>
  <si>
    <t xml:space="preserve">11700</t>
  </si>
  <si>
    <t xml:space="preserve">Jul 28, 2026</t>
  </si>
  <si>
    <t xml:space="preserve">2890</t>
  </si>
  <si>
    <t xml:space="preserve">Erika Cortez</t>
  </si>
  <si>
    <t xml:space="preserve">Jan 16, 2024</t>
  </si>
  <si>
    <t xml:space="preserve">May 28, 2025</t>
  </si>
  <si>
    <t xml:space="preserve">7200</t>
  </si>
  <si>
    <t xml:space="preserve">Jul 19, 2024</t>
  </si>
  <si>
    <t xml:space="preserve">Apr 18, 2025</t>
  </si>
  <si>
    <t xml:space="preserve">8350</t>
  </si>
  <si>
    <t xml:space="preserve">Marvin Gutierrez</t>
  </si>
  <si>
    <t xml:space="preserve">May 28, 2024</t>
  </si>
  <si>
    <t xml:space="preserve">Sep 16, 2026</t>
  </si>
  <si>
    <t xml:space="preserve">26020</t>
  </si>
  <si>
    <t xml:space="preserve">Odette Gonzales</t>
  </si>
  <si>
    <t xml:space="preserve">11010</t>
  </si>
  <si>
    <t xml:space="preserve">Nov 30, 2024</t>
  </si>
  <si>
    <t xml:space="preserve">Jul 14, 2026</t>
  </si>
  <si>
    <t xml:space="preserve">36600</t>
  </si>
  <si>
    <t xml:space="preserve">Edwin Encarnacion</t>
  </si>
  <si>
    <t xml:space="preserve">Apr 8, 2024</t>
  </si>
  <si>
    <t xml:space="preserve">Sep 6, 2026</t>
  </si>
  <si>
    <t xml:space="preserve">42720</t>
  </si>
  <si>
    <t xml:space="preserve">Aug 10, 2025</t>
  </si>
  <si>
    <t xml:space="preserve">Nov 20, 2025</t>
  </si>
  <si>
    <t xml:space="preserve">3680</t>
  </si>
  <si>
    <t xml:space="preserve">Feb 27, 2024</t>
  </si>
  <si>
    <t xml:space="preserve">Jan 28, 2025</t>
  </si>
  <si>
    <t xml:space="preserve">4610</t>
  </si>
  <si>
    <t xml:space="preserve">Jan 12, 2025</t>
  </si>
  <si>
    <t xml:space="preserve">4710</t>
  </si>
  <si>
    <t xml:space="preserve">Mark Ordonez</t>
  </si>
  <si>
    <t xml:space="preserve">Aug 13, 2024</t>
  </si>
  <si>
    <t xml:space="preserve">May 6, 2026</t>
  </si>
  <si>
    <t xml:space="preserve">5900</t>
  </si>
  <si>
    <t xml:space="preserve">Jun 21, 2025</t>
  </si>
  <si>
    <t xml:space="preserve">Mar 20, 2026</t>
  </si>
  <si>
    <t xml:space="preserve">Aug 16, 2023</t>
  </si>
  <si>
    <t xml:space="preserve">4730</t>
  </si>
  <si>
    <t xml:space="preserve">6360</t>
  </si>
  <si>
    <t xml:space="preserve">Jul 22, 2026</t>
  </si>
  <si>
    <t xml:space="preserve">5030</t>
  </si>
  <si>
    <t xml:space="preserve">Jul 9, 2024</t>
  </si>
  <si>
    <t xml:space="preserve">Jul 31, 2024</t>
  </si>
  <si>
    <t xml:space="preserve">960</t>
  </si>
  <si>
    <t xml:space="preserve">Jul 10, 2024</t>
  </si>
  <si>
    <t xml:space="preserve">Apr 6, 2025</t>
  </si>
  <si>
    <t xml:space="preserve">3080</t>
  </si>
  <si>
    <t xml:space="preserve">Sep 5, 2026</t>
  </si>
  <si>
    <t xml:space="preserve">Sep 7, 2026</t>
  </si>
  <si>
    <t xml:space="preserve">910</t>
  </si>
  <si>
    <t xml:space="preserve">Oct 15, 2023</t>
  </si>
  <si>
    <t xml:space="preserve">Mar 11, 2026</t>
  </si>
  <si>
    <t xml:space="preserve">7020</t>
  </si>
  <si>
    <t xml:space="preserve">Jan 29, 2025</t>
  </si>
  <si>
    <t xml:space="preserve">Dec 16, 2025</t>
  </si>
  <si>
    <t xml:space="preserve">9390</t>
  </si>
  <si>
    <t xml:space="preserve">Mar 3, 2025</t>
  </si>
  <si>
    <t xml:space="preserve">1240</t>
  </si>
  <si>
    <t xml:space="preserve">Sep 11, 2023</t>
  </si>
  <si>
    <t xml:space="preserve">Sep 1, 2024</t>
  </si>
  <si>
    <t xml:space="preserve">4080</t>
  </si>
  <si>
    <t xml:space="preserve">Rafael Encarnacion</t>
  </si>
  <si>
    <t xml:space="preserve">Aug 2, 2026</t>
  </si>
  <si>
    <t xml:space="preserve">9780</t>
  </si>
  <si>
    <t xml:space="preserve">Dec 25, 2024</t>
  </si>
  <si>
    <t xml:space="preserve">Apr 24, 2026</t>
  </si>
  <si>
    <t xml:space="preserve">2340</t>
  </si>
  <si>
    <t xml:space="preserve">Nov 20, 2024</t>
  </si>
  <si>
    <t xml:space="preserve">May 22, 2026</t>
  </si>
  <si>
    <t xml:space="preserve">9800</t>
  </si>
  <si>
    <t xml:space="preserve">Mar 1, 2026</t>
  </si>
  <si>
    <t xml:space="preserve">Apr 20, 2026</t>
  </si>
  <si>
    <t xml:space="preserve">1390</t>
  </si>
  <si>
    <t xml:space="preserve">Mar 30, 2024</t>
  </si>
  <si>
    <t xml:space="preserve">Mar 22, 2026</t>
  </si>
  <si>
    <t xml:space="preserve">8340</t>
  </si>
  <si>
    <t xml:space="preserve">6760</t>
  </si>
  <si>
    <t xml:space="preserve">Dec 17, 2025</t>
  </si>
  <si>
    <t xml:space="preserve">Jul 2, 2026</t>
  </si>
  <si>
    <t xml:space="preserve">3700</t>
  </si>
  <si>
    <t xml:space="preserve">Sep 11, 2024</t>
  </si>
  <si>
    <t xml:space="preserve">May 26, 2025</t>
  </si>
  <si>
    <t xml:space="preserve">Jan 4, 2025</t>
  </si>
  <si>
    <t xml:space="preserve">6650</t>
  </si>
  <si>
    <t xml:space="preserve">Mar 6, 2025</t>
  </si>
  <si>
    <t xml:space="preserve">5040</t>
  </si>
  <si>
    <t xml:space="preserve">930</t>
  </si>
  <si>
    <t xml:space="preserve">(blank)</t>
  </si>
  <si>
    <t xml:space="preserve">Filled from city</t>
  </si>
  <si>
    <t xml:space="preserve">May 24, 2026</t>
  </si>
  <si>
    <t xml:space="preserve">Text changed to a number</t>
  </si>
  <si>
    <t xml:space="preserve">11660</t>
  </si>
  <si>
    <t xml:space="preserve">Aug 23, 2026</t>
  </si>
  <si>
    <t xml:space="preserve">Apr 28, 2025</t>
  </si>
  <si>
    <t xml:space="preserve">9860</t>
  </si>
  <si>
    <t xml:space="preserve">Gerald Salazar</t>
  </si>
  <si>
    <t xml:space="preserve">1330</t>
  </si>
  <si>
    <t xml:space="preserve">5540</t>
  </si>
  <si>
    <t xml:space="preserve">Oct 14, 2025</t>
  </si>
  <si>
    <t xml:space="preserve">May 2, 2025</t>
  </si>
  <si>
    <t xml:space="preserve">10020</t>
  </si>
  <si>
    <t xml:space="preserve">Jan 20, 2026</t>
  </si>
  <si>
    <t xml:space="preserve">7390</t>
  </si>
  <si>
    <t xml:space="preserve">Ivan Navarro</t>
  </si>
  <si>
    <t xml:space="preserve">Sep 2, 2023</t>
  </si>
  <si>
    <t xml:space="preserve">7960</t>
  </si>
  <si>
    <t xml:space="preserve">Dan Yap</t>
  </si>
  <si>
    <t xml:space="preserve">15840</t>
  </si>
  <si>
    <t xml:space="preserve">Marvin Torres</t>
  </si>
  <si>
    <t xml:space="preserve">4740</t>
  </si>
  <si>
    <t xml:space="preserve">Ben Castillo</t>
  </si>
  <si>
    <t xml:space="preserve">Aug 20, 2026</t>
  </si>
  <si>
    <t xml:space="preserve">970</t>
  </si>
  <si>
    <t xml:space="preserve">Patrick Valdez</t>
  </si>
  <si>
    <t xml:space="preserve">Aug 10, 2024</t>
  </si>
  <si>
    <t xml:space="preserve">40540</t>
  </si>
  <si>
    <t xml:space="preserve">Aira Santiago</t>
  </si>
  <si>
    <t xml:space="preserve">Jan 10, 2024</t>
  </si>
  <si>
    <t xml:space="preserve">7510</t>
  </si>
  <si>
    <t xml:space="preserve">Jun 9, 2024</t>
  </si>
  <si>
    <t xml:space="preserve">Jul 27, 2026</t>
  </si>
  <si>
    <t xml:space="preserve">19560</t>
  </si>
  <si>
    <t xml:space="preserve">Oscar Quiambao</t>
  </si>
  <si>
    <t xml:space="preserve">Sep 19, 2024</t>
  </si>
  <si>
    <t xml:space="preserve">6150</t>
  </si>
  <si>
    <t xml:space="preserve">Sep 21, 2023</t>
  </si>
  <si>
    <t xml:space="preserve">2460</t>
  </si>
  <si>
    <t xml:space="preserve">Mar 6, 2023</t>
  </si>
  <si>
    <t xml:space="preserve">Jun 13, 2025</t>
  </si>
  <si>
    <t xml:space="preserve">3390</t>
  </si>
  <si>
    <t xml:space="preserve">Aug 25, 2026</t>
  </si>
  <si>
    <t xml:space="preserve">2100</t>
  </si>
  <si>
    <t xml:space="preserve">Nov 24, 2023</t>
  </si>
  <si>
    <t xml:space="preserve">2920</t>
  </si>
  <si>
    <t xml:space="preserve">Aug 15, 2026</t>
  </si>
  <si>
    <t xml:space="preserve">6250</t>
  </si>
  <si>
    <t xml:space="preserve">Apr 1, 2025</t>
  </si>
  <si>
    <t xml:space="preserve">Aug 10, 2026</t>
  </si>
  <si>
    <t xml:space="preserve">3130</t>
  </si>
  <si>
    <t xml:space="preserve">Mar 26, 2026</t>
  </si>
  <si>
    <t xml:space="preserve">6930</t>
  </si>
  <si>
    <t xml:space="preserve">Not a valid address, sent to follow-up</t>
  </si>
  <si>
    <t xml:space="preserve">23830</t>
  </si>
  <si>
    <t xml:space="preserve">Oct 4, 2023</t>
  </si>
  <si>
    <t xml:space="preserve">Jul 5, 2026</t>
  </si>
  <si>
    <t xml:space="preserve">7450</t>
  </si>
  <si>
    <t xml:space="preserve">Jul 17, 2026</t>
  </si>
  <si>
    <t xml:space="preserve">1080</t>
  </si>
  <si>
    <t xml:space="preserve">Feb 1, 2025</t>
  </si>
  <si>
    <t xml:space="preserve">5430</t>
  </si>
  <si>
    <t xml:space="preserve">Dec 26, 2023</t>
  </si>
  <si>
    <t xml:space="preserve">Jan 3, 2025</t>
  </si>
  <si>
    <t xml:space="preserve">1850</t>
  </si>
  <si>
    <t xml:space="preserve">Cathy Herrera</t>
  </si>
  <si>
    <t xml:space="preserve">2800</t>
  </si>
  <si>
    <t xml:space="preserve">Nov 17, 2024</t>
  </si>
  <si>
    <t xml:space="preserve">Jul 8, 2025</t>
  </si>
  <si>
    <t xml:space="preserve">37560</t>
  </si>
  <si>
    <t xml:space="preserve">Mia Encarnacion</t>
  </si>
  <si>
    <t xml:space="preserve">Sep 9, 2026</t>
  </si>
  <si>
    <t xml:space="preserve">3760</t>
  </si>
  <si>
    <t xml:space="preserve">Jun 29, 2026</t>
  </si>
  <si>
    <t xml:space="preserve">7930</t>
  </si>
  <si>
    <t xml:space="preserve">Kim Aguilar</t>
  </si>
  <si>
    <t xml:space="preserve">3690</t>
  </si>
  <si>
    <t xml:space="preserve">Jul 10, 2025</t>
  </si>
  <si>
    <t xml:space="preserve">Nov 29, 2025</t>
  </si>
  <si>
    <t xml:space="preserve">Jun 16, 2026</t>
  </si>
  <si>
    <t xml:space="preserve">Jun 13, 2023</t>
  </si>
  <si>
    <t xml:space="preserve">Hannah Galang</t>
  </si>
  <si>
    <t xml:space="preserve">Dec 22, 2025</t>
  </si>
  <si>
    <t xml:space="preserve">Carlo Cortez</t>
  </si>
  <si>
    <t xml:space="preserve">Aug 17, 2023</t>
  </si>
  <si>
    <t xml:space="preserve">2220</t>
  </si>
  <si>
    <t xml:space="preserve">Janelle Velasco</t>
  </si>
  <si>
    <t xml:space="preserve">Sep 10, 2026</t>
  </si>
  <si>
    <t xml:space="preserve">5460</t>
  </si>
  <si>
    <t xml:space="preserve">Aug 26, 2026</t>
  </si>
  <si>
    <t xml:space="preserve">41790</t>
  </si>
  <si>
    <t xml:space="preserve">Sep 25, 2024</t>
  </si>
  <si>
    <t xml:space="preserve">5980</t>
  </si>
  <si>
    <t xml:space="preserve">Mar 19, 2025</t>
  </si>
  <si>
    <t xml:space="preserve">17120</t>
  </si>
  <si>
    <t xml:space="preserve">Mar 12, 2025</t>
  </si>
  <si>
    <t xml:space="preserve">9880</t>
  </si>
  <si>
    <t xml:space="preserve">Dec 1, 2024</t>
  </si>
  <si>
    <t xml:space="preserve">1870</t>
  </si>
  <si>
    <t xml:space="preserve">Wilma Roxas</t>
  </si>
  <si>
    <t xml:space="preserve">Sep 24, 2024</t>
  </si>
  <si>
    <t xml:space="preserve">7580</t>
  </si>
  <si>
    <t xml:space="preserve">Nov 22, 2024</t>
  </si>
  <si>
    <t xml:space="preserve">5290</t>
  </si>
  <si>
    <t xml:space="preserve">Wendy Garcia</t>
  </si>
  <si>
    <t xml:space="preserve">Apr 4, 2024</t>
  </si>
  <si>
    <t xml:space="preserve">5200</t>
  </si>
  <si>
    <t xml:space="preserve">Jan 6, 2024</t>
  </si>
  <si>
    <t xml:space="preserve">Dec 14, 2025</t>
  </si>
  <si>
    <t xml:space="preserve">3740</t>
  </si>
  <si>
    <t xml:space="preserve">Dan Cruz</t>
  </si>
  <si>
    <t xml:space="preserve">Sep 8, 2024</t>
  </si>
  <si>
    <t xml:space="preserve">May 28, 2023</t>
  </si>
  <si>
    <t xml:space="preserve">Aug 22, 2025</t>
  </si>
  <si>
    <t xml:space="preserve">Jan 17, 2025</t>
  </si>
  <si>
    <t xml:space="preserve">Dec 5, 2025</t>
  </si>
  <si>
    <t xml:space="preserve">3470</t>
  </si>
  <si>
    <t xml:space="preserve">Sep 27, 2026</t>
  </si>
  <si>
    <t xml:space="preserve">Aug 31, 2025</t>
  </si>
  <si>
    <t xml:space="preserve">2620</t>
  </si>
  <si>
    <t xml:space="preserve">Cedric Agbayani</t>
  </si>
  <si>
    <t xml:space="preserve">5580</t>
  </si>
  <si>
    <t xml:space="preserve">Jan 28, 2026</t>
  </si>
  <si>
    <t xml:space="preserve">2160</t>
  </si>
  <si>
    <t xml:space="preserve">Sep 28, 2023</t>
  </si>
  <si>
    <t xml:space="preserve">Mar 14, 2024</t>
  </si>
  <si>
    <t xml:space="preserve">2750</t>
  </si>
  <si>
    <t xml:space="preserve">Jul 5, 2025</t>
  </si>
  <si>
    <t xml:space="preserve">5490</t>
  </si>
  <si>
    <t xml:space="preserve">Nov 9, 2023</t>
  </si>
  <si>
    <t xml:space="preserve">11420</t>
  </si>
  <si>
    <t xml:space="preserve">Pauline Bernal</t>
  </si>
  <si>
    <t xml:space="preserve">May 9, 2024</t>
  </si>
  <si>
    <t xml:space="preserve">Jun 10, 2026</t>
  </si>
  <si>
    <t xml:space="preserve">9950</t>
  </si>
  <si>
    <t xml:space="preserve">Edwin Tolentino</t>
  </si>
  <si>
    <t xml:space="preserve">4230</t>
  </si>
  <si>
    <t xml:space="preserve">Dec 2, 2025</t>
  </si>
  <si>
    <t xml:space="preserve">14740</t>
  </si>
  <si>
    <t xml:space="preserve">Oct 8, 2025</t>
  </si>
  <si>
    <t xml:space="preserve">Tonette Dimaculangan</t>
  </si>
  <si>
    <t xml:space="preserve">Dec 21, 2024</t>
  </si>
  <si>
    <t xml:space="preserve">Aug 11, 2026</t>
  </si>
  <si>
    <t xml:space="preserve">36960</t>
  </si>
  <si>
    <t xml:space="preserve">Jul 13, 2026</t>
  </si>
  <si>
    <t xml:space="preserve">890</t>
  </si>
  <si>
    <t xml:space="preserve">Nov 11, 2024</t>
  </si>
  <si>
    <t xml:space="preserve">51710</t>
  </si>
  <si>
    <t xml:space="preserve">Aug 5, 2026</t>
  </si>
  <si>
    <t xml:space="preserve">Sep 11, 2026</t>
  </si>
  <si>
    <t xml:space="preserve">Feb 7, 2024</t>
  </si>
  <si>
    <t xml:space="preserve">1210</t>
  </si>
  <si>
    <t xml:space="preserve">Hannah Cortez</t>
  </si>
  <si>
    <t xml:space="preserve">1860</t>
  </si>
  <si>
    <t xml:space="preserve">Oct 16, 2024</t>
  </si>
  <si>
    <t xml:space="preserve">Feb 19, 2026</t>
  </si>
  <si>
    <t xml:space="preserve">6800</t>
  </si>
  <si>
    <t xml:space="preserve">May 10, 2024</t>
  </si>
  <si>
    <t xml:space="preserve">Mar 13, 2025</t>
  </si>
  <si>
    <t xml:space="preserve">980</t>
  </si>
  <si>
    <t xml:space="preserve">Liza Rivera</t>
  </si>
  <si>
    <t xml:space="preserve">Queenie Ilagan</t>
  </si>
  <si>
    <t xml:space="preserve">Nov 8, 2025</t>
  </si>
  <si>
    <t xml:space="preserve">5120</t>
  </si>
  <si>
    <t xml:space="preserve">Jun 23, 2025</t>
  </si>
  <si>
    <t xml:space="preserve">Jan 23, 2026</t>
  </si>
  <si>
    <t xml:space="preserve">Nov 2, 2024</t>
  </si>
  <si>
    <t xml:space="preserve">Day-first text read as a real date</t>
  </si>
  <si>
    <t xml:space="preserve">3070</t>
  </si>
  <si>
    <t xml:space="preserve">Feb 26, 2025</t>
  </si>
  <si>
    <t xml:space="preserve">Oct 13, 2025</t>
  </si>
  <si>
    <t xml:space="preserve">Sep 13, 2026</t>
  </si>
  <si>
    <t xml:space="preserve">28240</t>
  </si>
  <si>
    <t xml:space="preserve">Zaldy Katigbak</t>
  </si>
  <si>
    <t xml:space="preserve">Aug 9, 2026</t>
  </si>
  <si>
    <t xml:space="preserve">14400</t>
  </si>
  <si>
    <t xml:space="preserve">Sam Belmonte</t>
  </si>
  <si>
    <t xml:space="preserve">Dec 22, 2023</t>
  </si>
  <si>
    <t xml:space="preserve">1430</t>
  </si>
  <si>
    <t xml:space="preserve">Jan 4, 2026</t>
  </si>
  <si>
    <t xml:space="preserve">Jun 15, 2026</t>
  </si>
  <si>
    <t xml:space="preserve">Tess Soriano</t>
  </si>
  <si>
    <t xml:space="preserve">Dec 18, 2023</t>
  </si>
  <si>
    <t xml:space="preserve">Jan 19, 2026</t>
  </si>
  <si>
    <t xml:space="preserve">14480</t>
  </si>
  <si>
    <t xml:space="preserve">Oct 29, 2025</t>
  </si>
  <si>
    <t xml:space="preserve">Elmer Lacson</t>
  </si>
  <si>
    <t xml:space="preserve">Oct 19, 2024</t>
  </si>
  <si>
    <t xml:space="preserve">May 12, 2026</t>
  </si>
  <si>
    <t xml:space="preserve">3970</t>
  </si>
  <si>
    <t xml:space="preserve">Feb 8, 2025</t>
  </si>
  <si>
    <t xml:space="preserve">Oct 30, 2023</t>
  </si>
  <si>
    <t xml:space="preserve">Jul 23, 2025</t>
  </si>
  <si>
    <t xml:space="preserve">Jul 23, 2026</t>
  </si>
  <si>
    <t xml:space="preserve">Ronald Dela Cruz</t>
  </si>
  <si>
    <t xml:space="preserve">Feb 5, 2025</t>
  </si>
  <si>
    <t xml:space="preserve">Sep 3, 2026</t>
  </si>
  <si>
    <t xml:space="preserve">4240</t>
  </si>
  <si>
    <t xml:space="preserve">Lara Flores</t>
  </si>
  <si>
    <t xml:space="preserve">Jan 13, 2024</t>
  </si>
  <si>
    <t xml:space="preserve">Aug 13, 2026</t>
  </si>
  <si>
    <t xml:space="preserve">Aug 30, 2024</t>
  </si>
  <si>
    <t xml:space="preserve">Aug 27, 2026</t>
  </si>
  <si>
    <t xml:space="preserve">Imelda Roxas</t>
  </si>
  <si>
    <t xml:space="preserve">May 30, 2025</t>
  </si>
  <si>
    <t xml:space="preserve">Jun 2, 2026</t>
  </si>
  <si>
    <t xml:space="preserve">13550</t>
  </si>
  <si>
    <t xml:space="preserve">May 9, 2025</t>
  </si>
  <si>
    <t xml:space="preserve">May 16, 2026</t>
  </si>
  <si>
    <t xml:space="preserve">610</t>
  </si>
  <si>
    <t xml:space="preserve">Rey Morales</t>
  </si>
  <si>
    <t xml:space="preserve">Jan 4, 2024</t>
  </si>
  <si>
    <t xml:space="preserve">Dec 9, 2025</t>
  </si>
  <si>
    <t xml:space="preserve">Rodel Briones</t>
  </si>
  <si>
    <t xml:space="preserve">Aug 8, 2026</t>
  </si>
  <si>
    <t xml:space="preserve">Sep 22, 2026</t>
  </si>
  <si>
    <t xml:space="preserve">Jun 12, 2023</t>
  </si>
  <si>
    <t xml:space="preserve">Feb 2, 2026</t>
  </si>
  <si>
    <t xml:space="preserve">3320</t>
  </si>
  <si>
    <t xml:space="preserve">Aug 11, 2025</t>
  </si>
  <si>
    <t xml:space="preserve">Sep 8, 2026</t>
  </si>
  <si>
    <t xml:space="preserve">1000</t>
  </si>
  <si>
    <t xml:space="preserve">Sep 18, 2026</t>
  </si>
  <si>
    <t xml:space="preserve">Mar 16, 2024</t>
  </si>
  <si>
    <t xml:space="preserve">1500</t>
  </si>
  <si>
    <t xml:space="preserve">Dec 21, 2025</t>
  </si>
  <si>
    <t xml:space="preserve">May 7, 2026</t>
  </si>
  <si>
    <t xml:space="preserve">Nov 15, 2025</t>
  </si>
  <si>
    <t xml:space="preserve">Jul 4, 2026</t>
  </si>
  <si>
    <t xml:space="preserve">Oct 31, 2023</t>
  </si>
  <si>
    <t xml:space="preserve">May 13, 2026</t>
  </si>
  <si>
    <t xml:space="preserve">Apr 30, 2024</t>
  </si>
  <si>
    <t xml:space="preserve">Oct 12, 2025</t>
  </si>
  <si>
    <t xml:space="preserve">10060</t>
  </si>
  <si>
    <t xml:space="preserve">Dec 29, 2025</t>
  </si>
  <si>
    <t xml:space="preserve">Feb 5, 2024</t>
  </si>
  <si>
    <t xml:space="preserve">8820</t>
  </si>
  <si>
    <t xml:space="preserve">Aug 11, 2023</t>
  </si>
  <si>
    <t xml:space="preserve">Aug 31, 2026</t>
  </si>
  <si>
    <t xml:space="preserve">Mar 9, 2025</t>
  </si>
  <si>
    <t xml:space="preserve">3860</t>
  </si>
  <si>
    <t xml:space="preserve">Kristine Ilagan</t>
  </si>
  <si>
    <t xml:space="preserve">Mar 10, 2024</t>
  </si>
  <si>
    <t xml:space="preserve">May 4, 2024</t>
  </si>
  <si>
    <t xml:space="preserve">May 29, 2025</t>
  </si>
  <si>
    <t xml:space="preserve">Nov 19, 2025</t>
  </si>
  <si>
    <t xml:space="preserve">Olive Tolentino</t>
  </si>
  <si>
    <t xml:space="preserve">Oct 16, 2025</t>
  </si>
  <si>
    <t xml:space="preserve">Aug 6, 2025</t>
  </si>
  <si>
    <t xml:space="preserve">Jun 24, 2026</t>
  </si>
  <si>
    <t xml:space="preserve">May 27, 2026</t>
  </si>
  <si>
    <t xml:space="preserve">May 22, 2025</t>
  </si>
  <si>
    <t xml:space="preserve">Jun 3, 2026</t>
  </si>
  <si>
    <t xml:space="preserve">Jun 27, 2025</t>
  </si>
  <si>
    <t xml:space="preserve">690</t>
  </si>
  <si>
    <t xml:space="preserve">Mia Fernandez</t>
  </si>
  <si>
    <t xml:space="preserve">Oct 13, 2023</t>
  </si>
  <si>
    <t xml:space="preserve">24400</t>
  </si>
  <si>
    <t xml:space="preserve">Feb 3, 2025</t>
  </si>
  <si>
    <t xml:space="preserve">11190</t>
  </si>
  <si>
    <t xml:space="preserve">Mar 29, 2025</t>
  </si>
  <si>
    <t xml:space="preserve">Jan 2, 2026</t>
  </si>
  <si>
    <t xml:space="preserve">Queenie Lualhati</t>
  </si>
  <si>
    <t xml:space="preserve">Aug 15, 2023</t>
  </si>
  <si>
    <t xml:space="preserve">Sarah Pascual</t>
  </si>
  <si>
    <t xml:space="preserve">Aug 29, 2023</t>
  </si>
  <si>
    <t xml:space="preserve">Mar 10, 2026</t>
  </si>
  <si>
    <t xml:space="preserve">Mar 8, 2024</t>
  </si>
  <si>
    <t xml:space="preserve">20100</t>
  </si>
  <si>
    <t xml:space="preserve">Nov 24, 2024</t>
  </si>
  <si>
    <t xml:space="preserve">Aug 28, 2026</t>
  </si>
  <si>
    <t xml:space="preserve">20550</t>
  </si>
  <si>
    <t xml:space="preserve">Aug 10, 2023</t>
  </si>
  <si>
    <t xml:space="preserve">8810</t>
  </si>
  <si>
    <t xml:space="preserve">Apr 27, 2026</t>
  </si>
  <si>
    <t xml:space="preserve">Jul 6, 2026</t>
  </si>
  <si>
    <t xml:space="preserve">2770</t>
  </si>
  <si>
    <t xml:space="preserve">Vince Nolasco</t>
  </si>
  <si>
    <t xml:space="preserve">Jan 18, 2025</t>
  </si>
  <si>
    <t xml:space="preserve">Jun 13, 2026</t>
  </si>
  <si>
    <t xml:space="preserve">14350</t>
  </si>
  <si>
    <t xml:space="preserve">Jul 15, 2024</t>
  </si>
  <si>
    <t xml:space="preserve">Oct 30, 2024</t>
  </si>
  <si>
    <t xml:space="preserve">Feb 2, 2024</t>
  </si>
  <si>
    <t xml:space="preserve">13090</t>
  </si>
  <si>
    <t xml:space="preserve">Apr 3, 2024</t>
  </si>
  <si>
    <t xml:space="preserve">Mar 16, 2025</t>
  </si>
  <si>
    <t xml:space="preserve">1970</t>
  </si>
  <si>
    <t xml:space="preserve">Aug 15, 2024</t>
  </si>
  <si>
    <t xml:space="preserve">Jul 16, 2026</t>
  </si>
  <si>
    <t xml:space="preserve">Irene Evangelista</t>
  </si>
  <si>
    <t xml:space="preserve">Apr 28, 2024</t>
  </si>
  <si>
    <t xml:space="preserve">Jun 30, 2026</t>
  </si>
  <si>
    <t xml:space="preserve">Jan 21, 2024</t>
  </si>
  <si>
    <t xml:space="preserve">Jun 19, 2024</t>
  </si>
  <si>
    <t xml:space="preserve">Nov 23, 2024</t>
  </si>
  <si>
    <t xml:space="preserve">Jan 20, 2025</t>
  </si>
  <si>
    <t xml:space="preserve">Apr 16, 2026</t>
  </si>
  <si>
    <t xml:space="preserve">8070</t>
  </si>
  <si>
    <t xml:space="preserve">Dec 30, 2024</t>
  </si>
  <si>
    <t xml:space="preserve">Jun 3, 2025</t>
  </si>
  <si>
    <t xml:space="preserve">Feb 10, 2025</t>
  </si>
  <si>
    <t xml:space="preserve">Odette Soriano</t>
  </si>
  <si>
    <t xml:space="preserve">Aug 29, 2026</t>
  </si>
  <si>
    <t xml:space="preserve">16970</t>
  </si>
  <si>
    <t xml:space="preserve">Marites Ordonez</t>
  </si>
  <si>
    <t xml:space="preserve">Nov 10, 2023</t>
  </si>
  <si>
    <t xml:space="preserve">Sep 17, 2024</t>
  </si>
  <si>
    <t xml:space="preserve">Aug 25, 2024</t>
  </si>
  <si>
    <t xml:space="preserve">Aug 13, 2025</t>
  </si>
  <si>
    <t xml:space="preserve">8500</t>
  </si>
  <si>
    <t xml:space="preserve">May 10, 2026</t>
  </si>
  <si>
    <t xml:space="preserve">1070</t>
  </si>
  <si>
    <t xml:space="preserve">Bianca Tolentino</t>
  </si>
  <si>
    <t xml:space="preserve">6100</t>
  </si>
  <si>
    <t xml:space="preserve">Aug 31, 2024</t>
  </si>
  <si>
    <t xml:space="preserve">Mar 10, 2025</t>
  </si>
  <si>
    <t xml:space="preserve">2930</t>
  </si>
  <si>
    <t xml:space="preserve">Kept as</t>
  </si>
  <si>
    <t xml:space="preserve">Customer</t>
  </si>
  <si>
    <t xml:space="preserve">Raw Rows Matched</t>
  </si>
  <si>
    <t xml:space="preserve">Source Refs</t>
  </si>
  <si>
    <t xml:space="preserve">Rows</t>
  </si>
  <si>
    <t xml:space="preserve">Match Rule</t>
  </si>
  <si>
    <t xml:space="preserve">Decision</t>
  </si>
  <si>
    <t xml:space="preserve">WEB-20422, POS-1204</t>
  </si>
  <si>
    <t xml:space="preserve">Merged: orders and spend added, earliest first order, latest last order</t>
  </si>
  <si>
    <t xml:space="preserve">WEB-20423, FB-0392</t>
  </si>
  <si>
    <t xml:space="preserve">WEB-20425, FB-0377</t>
  </si>
  <si>
    <t xml:space="preserve">WEB-20433, WEB-20516</t>
  </si>
  <si>
    <t xml:space="preserve">Kept once (same row exported twice)</t>
  </si>
  <si>
    <t xml:space="preserve">WEB-20438, FB-0466</t>
  </si>
  <si>
    <t xml:space="preserve">WEB-20449, FB-0510, POS-1313</t>
  </si>
  <si>
    <t xml:space="preserve">WEB-20457, FB-0517</t>
  </si>
  <si>
    <t xml:space="preserve">WEB-20466, WEB-20692</t>
  </si>
  <si>
    <t xml:space="preserve">WEB-20470, FB-0432, POS-1283</t>
  </si>
  <si>
    <t xml:space="preserve">WEB-20484, FB-0434</t>
  </si>
  <si>
    <t xml:space="preserve">WEB-20485, POS-1336</t>
  </si>
  <si>
    <t xml:space="preserve">WEB-20494, FB-0428</t>
  </si>
  <si>
    <t xml:space="preserve">WEB-20500, POS-1282</t>
  </si>
  <si>
    <t xml:space="preserve">WEB-20506, POS-1199</t>
  </si>
  <si>
    <t xml:space="preserve">WEB-20510, POS-1331</t>
  </si>
  <si>
    <t xml:space="preserve">WEB-20512, POS-1360</t>
  </si>
  <si>
    <t xml:space="preserve">WEB-20536, FB-0370</t>
  </si>
  <si>
    <t xml:space="preserve">WEB-20542, WEB-20653</t>
  </si>
  <si>
    <t xml:space="preserve">WEB-20560, FB-0326, POS-1279</t>
  </si>
  <si>
    <t xml:space="preserve">WEB-20574, FB-0463, POS-1366</t>
  </si>
  <si>
    <t xml:space="preserve">WEB-20575, FB-0386</t>
  </si>
  <si>
    <t xml:space="preserve">WEB-20593, POS-1352</t>
  </si>
  <si>
    <t xml:space="preserve">WEB-20606, POS-1347</t>
  </si>
  <si>
    <t xml:space="preserve">WEB-20607, FB-0330</t>
  </si>
  <si>
    <t xml:space="preserve">WEB-20616, FB-0471, POS-1289</t>
  </si>
  <si>
    <t xml:space="preserve">WEB-20626, FB-0485</t>
  </si>
  <si>
    <t xml:space="preserve">WEB-20628, FB-0415</t>
  </si>
  <si>
    <t xml:space="preserve">WEB-20631, POS-1187</t>
  </si>
  <si>
    <t xml:space="preserve">WEB-20639, FB-0497</t>
  </si>
  <si>
    <t xml:space="preserve">WEB-20642, POS-1272</t>
  </si>
  <si>
    <t xml:space="preserve">WEB-20647, FB-0491, POS-1255</t>
  </si>
  <si>
    <t xml:space="preserve">WEB-20654, FB-0440, POS-1228</t>
  </si>
  <si>
    <t xml:space="preserve">WEB-20655, FB-0481</t>
  </si>
  <si>
    <t xml:space="preserve">WEB-20663, POS-1303</t>
  </si>
  <si>
    <t xml:space="preserve">WEB-20667, FB-0514</t>
  </si>
  <si>
    <t xml:space="preserve">WEB-20675, FB-0379, POS-1319</t>
  </si>
  <si>
    <t xml:space="preserve">WEB-20685, FB-0413</t>
  </si>
  <si>
    <t xml:space="preserve">WEB-20689, FB-0455, POS-1291</t>
  </si>
  <si>
    <t xml:space="preserve">FB-0316, POS-1327</t>
  </si>
  <si>
    <t xml:space="preserve">FB-0319, POS-1335</t>
  </si>
  <si>
    <t xml:space="preserve">FB-0360, POS-1182</t>
  </si>
  <si>
    <t xml:space="preserve">FB-0402, POS-1286</t>
  </si>
  <si>
    <t xml:space="preserve">FB-0417, POS-1372</t>
  </si>
  <si>
    <t xml:space="preserve">FB-0426, POS-1247</t>
  </si>
  <si>
    <t xml:space="preserve">FB-0443, POS-1273</t>
  </si>
  <si>
    <t xml:space="preserve">FB-0460, POS-1262</t>
  </si>
  <si>
    <t xml:space="preserve">FB-0465, POS-1343</t>
  </si>
  <si>
    <t xml:space="preserve">FB-0500, FB-0506</t>
  </si>
  <si>
    <t xml:space="preserve">FB-0520, POS-1200</t>
  </si>
  <si>
    <t xml:space="preserve">FB-0525, POS-1349</t>
  </si>
  <si>
    <t xml:space="preserve">FB-0526, POS-1288</t>
  </si>
  <si>
    <t xml:space="preserve">POS-1285, POS-1299</t>
  </si>
  <si>
    <t xml:space="preserve">POS-1297, POS-1351</t>
  </si>
  <si>
    <t xml:space="preserve">Missing</t>
  </si>
  <si>
    <t xml:space="preserve">Reach Them At</t>
  </si>
  <si>
    <t xml:space="preserve">Next Action</t>
  </si>
  <si>
    <t xml:space="preserve">Owner</t>
  </si>
  <si>
    <t xml:space="preserve">Due</t>
  </si>
  <si>
    <t xml:space="preserve">Status</t>
  </si>
  <si>
    <t xml:space="preserve">Notes</t>
  </si>
  <si>
    <t xml:space="preserve">Ask if they want promos by email and SMS; record Yes or No</t>
  </si>
  <si>
    <t xml:space="preserve">Rose</t>
  </si>
  <si>
    <t xml:space="preserve">Open</t>
  </si>
  <si>
    <t xml:space="preserve">Ask for a mobile number by email</t>
  </si>
  <si>
    <t xml:space="preserve">Ask for an email address at the next order or by SMS</t>
  </si>
  <si>
    <t xml:space="preserve">Due dates are set by segment: VIP in 2 working days, Regular in 3, everyone else in 5. Change Status to Done when the detail is added to Customer Master.</t>
  </si>
  <si>
    <t xml:space="preserve">Data Quality Scorecard</t>
  </si>
  <si>
    <t xml:space="preserve">Four standard checks, measured on the raw file at intake and live on the clean Customer Master.</t>
  </si>
  <si>
    <t xml:space="preserve">What it measures</t>
  </si>
  <si>
    <t xml:space="preserve">Raw file (intake)</t>
  </si>
  <si>
    <t xml:space="preserve">Clean list (live)</t>
  </si>
  <si>
    <t xml:space="preserve">Change</t>
  </si>
  <si>
    <t xml:space="preserve">Required fields that are filled in (name, email, mobile, city, province, dates, orders, spend, consent)</t>
  </si>
  <si>
    <t xml:space="preserve">Values in a usable form: real email address, mobile in one pattern, real dates, numbers stored as numbers</t>
  </si>
  <si>
    <t xml:space="preserve">One spelling per value: names in proper case, cities and provinces from the approved list, consent as Yes or No</t>
  </si>
  <si>
    <t xml:space="preserve">Each customer appears once (no repeated email or mobile number)</t>
  </si>
  <si>
    <t xml:space="preserve">Overall score</t>
  </si>
  <si>
    <t xml:space="preserve">Average of the four checks</t>
  </si>
  <si>
    <t xml:space="preserve">Raw file scores were measured once on the combined export (268 rows). Clean list scores are formulas and change as the list is edited.</t>
  </si>
  <si>
    <t xml:space="preserve">Fixes by field</t>
  </si>
  <si>
    <t xml:space="preserve">Most common problem</t>
  </si>
  <si>
    <t xml:space="preserve">Fixes</t>
  </si>
  <si>
    <t xml:space="preserve">Share of fixes</t>
  </si>
  <si>
    <t xml:space="preserve">Dates typed as text in four different styles</t>
  </si>
  <si>
    <t xml:space="preserve">TRUE, Y, 1, yes or blank instead of Yes or No</t>
  </si>
  <si>
    <t xml:space="preserve">Peso signs, commas and decimals stored as text</t>
  </si>
  <si>
    <t xml:space="preserve">Eight different phone formats</t>
  </si>
  <si>
    <t xml:space="preserve">Short names and caps (Naga, NAGA CITY, Legaspi)</t>
  </si>
  <si>
    <t xml:space="preserve">Abbreviations (Cam Sur) or left blank</t>
  </si>
  <si>
    <t xml:space="preserve">All caps, all lowercase, extra spaces</t>
  </si>
  <si>
    <t xml:space="preserve">Capitals, stray spaces and domain typos</t>
  </si>
  <si>
    <t xml:space="preserve">Text like "4 orders" instead of a number</t>
  </si>
  <si>
    <t xml:space="preserve">Total changes logged</t>
  </si>
  <si>
    <t xml:space="preserve">What each Customer Master column means and the rule that keeps it clean.</t>
  </si>
  <si>
    <t xml:space="preserve">Column</t>
  </si>
  <si>
    <t xml:space="preserve">Type</t>
  </si>
  <si>
    <t xml:space="preserve">Required</t>
  </si>
  <si>
    <t xml:space="preserve">Format or rule</t>
  </si>
  <si>
    <t xml:space="preserve">Example</t>
  </si>
  <si>
    <t xml:space="preserve">Text</t>
  </si>
  <si>
    <t xml:space="preserve">BHG- plus 5 digits. Given once, never reused. Oldest customer has the lowest number.</t>
  </si>
  <si>
    <t xml:space="preserve">First Name / Last Name</t>
  </si>
  <si>
    <t xml:space="preserve">Proper case, single spaces. Last names keep particles (Dela Cruz, De Leon).</t>
  </si>
  <si>
    <t xml:space="preserve">Ramon / Dela Cruz</t>
  </si>
  <si>
    <t xml:space="preserve">Lowercase, no spaces, one @. Must be unique.</t>
  </si>
  <si>
    <t xml:space="preserve">ana.santos@example.com</t>
  </si>
  <si>
    <t xml:space="preserve">+63 9XX XXX XXXX. Must be unique.</t>
  </si>
  <si>
    <t xml:space="preserve">+63 917 555 0101</t>
  </si>
  <si>
    <t xml:space="preserve">List</t>
  </si>
  <si>
    <t xml:space="preserve">Pick from Lists &gt; City.</t>
  </si>
  <si>
    <t xml:space="preserve">Full name from Lists &gt; Province.</t>
  </si>
  <si>
    <t xml:space="preserve">Where the customer was found: WEB, FB, POS. Joined with + when merged.</t>
  </si>
  <si>
    <t xml:space="preserve">First Order / Last Order</t>
  </si>
  <si>
    <t xml:space="preserve">Date</t>
  </si>
  <si>
    <t xml:space="preserve">Real Excel dates, shown as mmm d, yyyy. Not later than the report date.</t>
  </si>
  <si>
    <t xml:space="preserve">Whole number</t>
  </si>
  <si>
    <t xml:space="preserve">0 or more. Total across all sources.</t>
  </si>
  <si>
    <t xml:space="preserve">Number (PHP)</t>
  </si>
  <si>
    <t xml:space="preserve">0 or more, no peso sign typed. Shown with ₱ by format.</t>
  </si>
  <si>
    <t xml:space="preserve">₱14,250</t>
  </si>
  <si>
    <t xml:space="preserve">Formula</t>
  </si>
  <si>
    <t xml:space="preserve">Auto</t>
  </si>
  <si>
    <t xml:space="preserve">Total Spent divided by Orders.</t>
  </si>
  <si>
    <t xml:space="preserve">₱1,188</t>
  </si>
  <si>
    <t xml:space="preserve">Yes or No: agreed to receive promos by email and SMS. Blank means not asked yet.</t>
  </si>
  <si>
    <t xml:space="preserve">Report date minus Last Order.</t>
  </si>
  <si>
    <t xml:space="preserve">34</t>
  </si>
  <si>
    <t xml:space="preserve">New: first order in the last 90 days. VIP: ordered in the last 180 days and spent ₱15,000 or more. Regular: ordered in the last 180 days. At risk: 181 to 365 days. Lapsed: over 365 days.</t>
  </si>
  <si>
    <t xml:space="preserve">Email Check / Mobile Check</t>
  </si>
  <si>
    <t xml:space="preserve">Valid, Missing, Invalid, Duplicate (or Check for a mobile in the wrong pattern).</t>
  </si>
  <si>
    <t xml:space="preserve">Valid</t>
  </si>
  <si>
    <t xml:space="preserve">Complete when email and mobile are valid and consent is answered. Otherwise Needs follow-up.</t>
  </si>
  <si>
    <t xml:space="preserve">Complete</t>
  </si>
  <si>
    <t xml:space="preserve">Raw Combined rows this customer came from, for tracing.</t>
  </si>
  <si>
    <t xml:space="preserve">R014, R171</t>
  </si>
  <si>
    <t xml:space="preserve">Approved values for the dropdowns. Add a new city here first, then it appears in the dropdown.</t>
  </si>
  <si>
    <t xml:space="preserve">Follow-up status</t>
  </si>
  <si>
    <t xml:space="preserve">Source codes</t>
  </si>
  <si>
    <t xml:space="preserve">Online store export</t>
  </si>
  <si>
    <t xml:space="preserve">Contacted</t>
  </si>
  <si>
    <t xml:space="preserve">Store staff</t>
  </si>
  <si>
    <t xml:space="preserve">Facebook Page orders sheet</t>
  </si>
  <si>
    <t xml:space="preserve">Done</t>
  </si>
  <si>
    <t xml:space="preserve">In-store loyalty sign-ups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</si>
</sst>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#,##0"/>
    <numFmt numFmtId="167" formatCode="0.0%"/>
    <numFmt numFmtId="168" formatCode="\₱#,##0"/>
    <numFmt numFmtId="169" formatCode="0%"/>
    <numFmt numFmtId="170" formatCode="General"/>
    <numFmt numFmtId="171" formatCode="@"/>
    <numFmt numFmtId="172" formatCode="\+0.0%;\-0.0%;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color rgb="FF1D5FD1"/>
      <name val="Calibri"/>
      <family val="0"/>
      <charset val="1"/>
    </font>
    <font>
      <b val="true"/>
      <sz val="22"/>
      <color rgb="FF121417"/>
      <name val="Calibri"/>
      <family val="0"/>
      <charset val="1"/>
    </font>
    <font>
      <sz val="10.5"/>
      <color rgb="FF4B5563"/>
      <name val="Calibri"/>
      <family val="0"/>
      <charset val="1"/>
    </font>
    <font>
      <b val="true"/>
      <sz val="10"/>
      <color rgb="FF5F6673"/>
      <name val="Calibri"/>
      <family val="0"/>
      <charset val="1"/>
    </font>
    <font>
      <b val="true"/>
      <sz val="11"/>
      <color rgb="FF163F8C"/>
      <name val="Calibri"/>
      <family val="0"/>
      <charset val="1"/>
    </font>
    <font>
      <sz val="10.5"/>
      <color rgb="FF121417"/>
      <name val="Calibri"/>
      <family val="0"/>
      <charset val="1"/>
    </font>
    <font>
      <b val="true"/>
      <sz val="13"/>
      <color rgb="FF12141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.5"/>
      <color rgb="FF1D5FD1"/>
      <name val="Calibri"/>
      <family val="0"/>
      <charset val="1"/>
    </font>
    <font>
      <b val="true"/>
      <sz val="10.5"/>
      <color rgb="FF163F8C"/>
      <name val="Calibri"/>
      <family val="0"/>
      <charset val="1"/>
    </font>
    <font>
      <b val="true"/>
      <sz val="20"/>
      <color rgb="FF121417"/>
      <name val="Calibri"/>
      <family val="0"/>
      <charset val="1"/>
    </font>
    <font>
      <sz val="10.5"/>
      <color rgb="FF5F6673"/>
      <name val="Calibri"/>
      <family val="0"/>
      <charset val="1"/>
    </font>
    <font>
      <b val="true"/>
      <sz val="10"/>
      <color rgb="FFDCE6F8"/>
      <name val="Calibri"/>
      <family val="0"/>
      <charset val="1"/>
    </font>
    <font>
      <b val="true"/>
      <sz val="26"/>
      <color rgb="FF121417"/>
      <name val="Calibri"/>
      <family val="0"/>
      <charset val="1"/>
    </font>
    <font>
      <b val="true"/>
      <sz val="26"/>
      <color rgb="FFFFFFFF"/>
      <name val="Calibri"/>
      <family val="0"/>
      <charset val="1"/>
    </font>
    <font>
      <sz val="9.5"/>
      <color rgb="FF5F6673"/>
      <name val="Calibri"/>
      <family val="0"/>
      <charset val="1"/>
    </font>
    <font>
      <sz val="9.5"/>
      <color rgb="FFDCE6F8"/>
      <name val="Calibri"/>
      <family val="0"/>
      <charset val="1"/>
    </font>
    <font>
      <b val="true"/>
      <sz val="22"/>
      <color rgb="FF163F8C"/>
      <name val="Calibri"/>
      <family val="0"/>
      <charset val="1"/>
    </font>
    <font>
      <b val="true"/>
      <sz val="12"/>
      <color rgb="FF121417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0"/>
      <color rgb="FF121417"/>
      <name val="Calibri"/>
      <family val="0"/>
      <charset val="1"/>
    </font>
    <font>
      <sz val="10"/>
      <color rgb="FF121417"/>
      <name val="Calibri"/>
      <family val="0"/>
      <charset val="1"/>
    </font>
    <font>
      <i val="true"/>
      <sz val="9.5"/>
      <color rgb="FF5F6673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163F8C"/>
      <name val="Calibri"/>
      <family val="0"/>
      <charset val="1"/>
    </font>
    <font>
      <sz val="9"/>
      <color rgb="FF5F6673"/>
      <name val="Calibri"/>
      <family val="0"/>
      <charset val="1"/>
    </font>
    <font>
      <sz val="10"/>
      <color rgb="FF5F6673"/>
      <name val="Calibri"/>
      <family val="0"/>
      <charset val="1"/>
    </font>
    <font>
      <b val="true"/>
      <sz val="18"/>
      <color rgb="FF121417"/>
      <name val="Calibri"/>
      <family val="0"/>
      <charset val="1"/>
    </font>
    <font>
      <b val="true"/>
      <sz val="10.5"/>
      <color rgb="FF121417"/>
      <name val="Calibri"/>
      <family val="0"/>
      <charset val="1"/>
    </font>
    <font>
      <sz val="10"/>
      <color rgb="FF4B556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5FD1"/>
        <bgColor rgb="FF3366FF"/>
      </patternFill>
    </fill>
    <fill>
      <patternFill patternType="solid">
        <fgColor rgb="FFE7EEFB"/>
        <bgColor rgb="FFECEEF1"/>
      </patternFill>
    </fill>
    <fill>
      <patternFill patternType="solid">
        <fgColor rgb="FFF5F6F8"/>
        <bgColor rgb="FFF3F6FD"/>
      </patternFill>
    </fill>
    <fill>
      <patternFill patternType="solid">
        <fgColor rgb="FFF3F6FD"/>
        <bgColor rgb="FFF5F6F8"/>
      </patternFill>
    </fill>
    <fill>
      <patternFill patternType="solid">
        <fgColor rgb="FF163F8C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63F8C"/>
      </bottom>
      <diagonal/>
    </border>
    <border diagonalUp="false" diagonalDown="false">
      <left/>
      <right/>
      <top/>
      <bottom style="thin">
        <color rgb="FFECEEF1"/>
      </bottom>
      <diagonal/>
    </border>
    <border diagonalUp="false" diagonalDown="false"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2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7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4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0" fillId="2" borderId="4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7" fontId="2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25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3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9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4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D5FD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3F8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21417"/>
          <bgColor rgb="FF000000"/>
        </patternFill>
      </fill>
    </dxf>
    <dxf>
      <fill>
        <patternFill patternType="solid">
          <fgColor rgb="FFE7EEFB"/>
          <bgColor rgb="FF000000"/>
        </patternFill>
      </fill>
    </dxf>
    <dxf>
      <fill>
        <patternFill patternType="solid">
          <fgColor rgb="FFF5F6F8"/>
          <bgColor rgb="FF000000"/>
        </patternFill>
      </fill>
    </dxf>
    <dxf>
      <fill>
        <patternFill patternType="solid">
          <fgColor rgb="FF5F6673"/>
          <bgColor rgb="FF000000"/>
        </patternFill>
      </fill>
    </dxf>
    <dxf>
      <font>
        <b val="1"/>
        <color rgb="FF163F8C"/>
      </font>
      <fill>
        <patternFill>
          <bgColor rgb="FFE7EEFB"/>
        </patternFill>
      </fill>
    </dxf>
    <dxf>
      <font>
        <b val="1"/>
        <color rgb="FFFFFFFF"/>
      </font>
      <fill>
        <patternFill>
          <bgColor rgb="FF121417"/>
        </patternFill>
      </fill>
    </dxf>
    <dxf>
      <fill>
        <patternFill>
          <bgColor rgb="FFE7EEFB"/>
        </patternFill>
      </fill>
    </dxf>
    <dxf>
      <font>
        <b val="1"/>
        <color rgb="FF1D5FD1"/>
      </font>
    </dxf>
    <dxf>
      <font>
        <i val="1"/>
        <color rgb="FF5F6673"/>
      </font>
    </dxf>
    <dxf>
      <font>
        <strike val="1"/>
        <color rgb="FF9AA1A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5F6F8"/>
      <rgbColor rgb="FFE7EEFB"/>
      <rgbColor rgb="FF660066"/>
      <rgbColor rgb="FFFF8080"/>
      <rgbColor rgb="FF1D5FD1"/>
      <rgbColor rgb="FFC7D6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8"/>
      <rgbColor rgb="FFECEEF1"/>
      <rgbColor rgb="FFF3F6FD"/>
      <rgbColor rgb="FF99CCFF"/>
      <rgbColor rgb="FFFF99CC"/>
      <rgbColor rgb="FFCC99FF"/>
      <rgbColor rgb="FFDDE1E6"/>
      <rgbColor rgb="FF3366FF"/>
      <rgbColor rgb="FF33CCCC"/>
      <rgbColor rgb="FF99CC00"/>
      <rgbColor rgb="FFFFCC00"/>
      <rgbColor rgb="FFFF9900"/>
      <rgbColor rgb="FFFF6600"/>
      <rgbColor rgb="FF5F6673"/>
      <rgbColor rgb="FF9AA1AB"/>
      <rgbColor rgb="FF003366"/>
      <rgbColor rgb="FF339966"/>
      <rgbColor rgb="FF121417"/>
      <rgbColor rgb="FF333300"/>
      <rgbColor rgb="FF993300"/>
      <rgbColor rgb="FF993366"/>
      <rgbColor rgb="FF163F8C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Raw file</c:v>
                </c:pt>
              </c:strCache>
            </c:strRef>
          </c:tx>
          <c:spPr>
            <a:solidFill>
              <a:srgbClr val="c7d6f4"/>
            </a:solidFill>
            <a:ln w="936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nt val="4"/>
                <c:pt idx="0">
                  <c:v>Completeness</c:v>
                </c:pt>
                <c:pt idx="1">
                  <c:v>Validity</c:v>
                </c:pt>
                <c:pt idx="2">
                  <c:v>Consistency</c:v>
                </c:pt>
                <c:pt idx="3">
                  <c:v>Uniqueness</c:v>
                </c:pt>
              </c:strCache>
            </c:strRef>
          </c:cat>
          <c:val>
            <c:numRef>
              <c:f>Dashboard!$C$16:$C$19</c:f>
              <c:numCache>
                <c:formatCode>0%</c:formatCode>
                <c:ptCount val="4"/>
                <c:pt idx="0">
                  <c:v>0.978</c:v>
                </c:pt>
                <c:pt idx="1">
                  <c:v>0.3427</c:v>
                </c:pt>
                <c:pt idx="2">
                  <c:v>0.4142</c:v>
                </c:pt>
                <c:pt idx="3">
                  <c:v>0.7687</c:v>
                </c:pt>
              </c:numCache>
            </c:numRef>
          </c:val>
        </c:ser>
        <c:ser>
          <c:idx val="1"/>
          <c:order val="1"/>
          <c:tx>
            <c:strRef>
              <c:f>Dashboard!D15</c:f>
              <c:strCache>
                <c:ptCount val="1"/>
                <c:pt idx="0">
                  <c:v>Clean list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nt val="4"/>
                <c:pt idx="0">
                  <c:v>Completeness</c:v>
                </c:pt>
                <c:pt idx="1">
                  <c:v>Validity</c:v>
                </c:pt>
                <c:pt idx="2">
                  <c:v>Consistency</c:v>
                </c:pt>
                <c:pt idx="3">
                  <c:v>Uniqueness</c:v>
                </c:pt>
              </c:strCache>
            </c:strRef>
          </c:cat>
          <c:val>
            <c:numRef>
              <c:f>Dashboard!$D$16:$D$19</c:f>
              <c:numCache>
                <c:formatCode>0%</c:formatCode>
                <c:ptCount val="4"/>
                <c:pt idx="0">
                  <c:v>0.989805825242718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60"/>
        <c:overlap val="0"/>
        <c:axId val="34201393"/>
        <c:axId val="65602912"/>
      </c:barChart>
      <c:catAx>
        <c:axId val="342013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02912"/>
        <c:crosses val="autoZero"/>
        <c:auto val="1"/>
        <c:lblAlgn val="ctr"/>
        <c:lblOffset val="100"/>
        <c:noMultiLvlLbl val="0"/>
      </c:catAx>
      <c:valAx>
        <c:axId val="65602912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01393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Dashboard!$B$32:$B$36</c:f>
              <c:strCache>
                <c:ptCount val="5"/>
                <c:pt idx="0">
                  <c:v>VIP</c:v>
                </c:pt>
                <c:pt idx="1">
                  <c:v>Regular</c:v>
                </c:pt>
                <c:pt idx="2">
                  <c:v>New</c:v>
                </c:pt>
                <c:pt idx="3">
                  <c:v>At risk</c:v>
                </c:pt>
                <c:pt idx="4">
                  <c:v>Lapsed</c:v>
                </c:pt>
              </c:strCache>
            </c:strRef>
          </c:cat>
          <c:val>
            <c:numRef>
              <c:f>Dashboard!$C$32:$C$36</c:f>
              <c:numCache>
                <c:formatCode>#,##0</c:formatCode>
                <c:ptCount val="5"/>
                <c:pt idx="0">
                  <c:v>33</c:v>
                </c:pt>
                <c:pt idx="1">
                  <c:v>68</c:v>
                </c:pt>
                <c:pt idx="2">
                  <c:v>26</c:v>
                </c:pt>
                <c:pt idx="3">
                  <c:v>44</c:v>
                </c:pt>
                <c:pt idx="4">
                  <c:v>35</c:v>
                </c:pt>
              </c:numCache>
            </c:numRef>
          </c:val>
        </c:ser>
        <c:gapWidth val="70"/>
        <c:overlap val="0"/>
        <c:axId val="15814407"/>
        <c:axId val="33997611"/>
      </c:barChart>
      <c:catAx>
        <c:axId val="1581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97611"/>
        <c:crosses val="autoZero"/>
        <c:auto val="1"/>
        <c:lblAlgn val="ctr"/>
        <c:lblOffset val="100"/>
        <c:noMultiLvlLbl val="0"/>
      </c:catAx>
      <c:valAx>
        <c:axId val="33997611"/>
        <c:scaling>
          <c:orientation val="minMax"/>
          <c:max val="85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440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Dashboard!C47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Dashboard!$B$48:$B$53</c:f>
              <c:strCache>
                <c:ptCount val="6"/>
                <c:pt idx="0">
                  <c:v>Camarines Sur</c:v>
                </c:pt>
                <c:pt idx="1">
                  <c:v>Albay</c:v>
                </c:pt>
                <c:pt idx="2">
                  <c:v>Sorsogon</c:v>
                </c:pt>
                <c:pt idx="3">
                  <c:v>Camarines Norte</c:v>
                </c:pt>
                <c:pt idx="4">
                  <c:v>Catanduanes</c:v>
                </c:pt>
                <c:pt idx="5">
                  <c:v>Masbate</c:v>
                </c:pt>
              </c:strCache>
            </c:strRef>
          </c:cat>
          <c:val>
            <c:numRef>
              <c:f>Dashboard!$C$48:$C$53</c:f>
              <c:numCache>
                <c:formatCode>#,##0</c:formatCode>
                <c:ptCount val="6"/>
                <c:pt idx="0">
                  <c:v>106</c:v>
                </c:pt>
                <c:pt idx="1">
                  <c:v>59</c:v>
                </c:pt>
                <c:pt idx="2">
                  <c:v>16</c:v>
                </c:pt>
                <c:pt idx="3">
                  <c:v>14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</c:ser>
        <c:gapWidth val="50"/>
        <c:overlap val="0"/>
        <c:axId val="2888646"/>
        <c:axId val="63100195"/>
      </c:barChart>
      <c:catAx>
        <c:axId val="28886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0195"/>
        <c:crosses val="autoZero"/>
        <c:auto val="1"/>
        <c:lblAlgn val="ctr"/>
        <c:lblOffset val="100"/>
        <c:noMultiLvlLbl val="0"/>
      </c:catAx>
      <c:valAx>
        <c:axId val="6310019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864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13</xdr:row>
      <xdr:rowOff>0</xdr:rowOff>
    </xdr:from>
    <xdr:to>
      <xdr:col>12</xdr:col>
      <xdr:colOff>291240</xdr:colOff>
      <xdr:row>25</xdr:row>
      <xdr:rowOff>29160</xdr:rowOff>
    </xdr:to>
    <xdr:graphicFrame>
      <xdr:nvGraphicFramePr>
        <xdr:cNvPr id="0" name="Chart 1"/>
        <xdr:cNvGraphicFramePr/>
      </xdr:nvGraphicFramePr>
      <xdr:xfrm>
        <a:off x="4935240" y="33336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12</xdr:col>
      <xdr:colOff>291240</xdr:colOff>
      <xdr:row>40</xdr:row>
      <xdr:rowOff>172080</xdr:rowOff>
    </xdr:to>
    <xdr:graphicFrame>
      <xdr:nvGraphicFramePr>
        <xdr:cNvPr id="1" name="Chart 2"/>
        <xdr:cNvGraphicFramePr/>
      </xdr:nvGraphicFramePr>
      <xdr:xfrm>
        <a:off x="4935240" y="66578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45</xdr:row>
      <xdr:rowOff>0</xdr:rowOff>
    </xdr:from>
    <xdr:to>
      <xdr:col>12</xdr:col>
      <xdr:colOff>291240</xdr:colOff>
      <xdr:row>56</xdr:row>
      <xdr:rowOff>124920</xdr:rowOff>
    </xdr:to>
    <xdr:graphicFrame>
      <xdr:nvGraphicFramePr>
        <xdr:cNvPr id="2" name="Chart 3"/>
        <xdr:cNvGraphicFramePr/>
      </xdr:nvGraphicFramePr>
      <xdr:xfrm>
        <a:off x="4935240" y="100299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hanges" displayName="tblChanges" ref="A1:G1657" headerRowCount="1" totalsRowCount="0" totalsRowShown="0">
  <autoFilter ref="A1:G1657"/>
  <tableColumns count="7">
    <tableColumn id="1" name="#"/>
    <tableColumn id="2" name="Raw Row"/>
    <tableColumn id="3" name="Source Ref"/>
    <tableColumn id="4" name="Field"/>
    <tableColumn id="5" name="Before (as received)"/>
    <tableColumn id="6" name="After (clean)"/>
    <tableColumn id="7" name="Rule Applied"/>
  </tableColumns>
</table>
</file>

<file path=xl/tables/table2.xml><?xml version="1.0" encoding="utf-8"?>
<table xmlns="http://schemas.openxmlformats.org/spreadsheetml/2006/main" id="2" name="tblCustomers" displayName="tblCustomers" ref="A1:T207" headerRowCount="1" totalsRowCount="0" totalsRowShown="0">
  <autoFilter ref="A1:T207"/>
  <tableColumns count="20">
    <tableColumn id="1" name="Customer ID"/>
    <tableColumn id="2" name="First Name"/>
    <tableColumn id="3" name="Last Name"/>
    <tableColumn id="4" name="Email"/>
    <tableColumn id="5" name="Mobile"/>
    <tableColumn id="6" name="City"/>
    <tableColumn id="7" name="Province"/>
    <tableColumn id="8" name="Sources"/>
    <tableColumn id="9" name="First Order"/>
    <tableColumn id="10" name="Last Order"/>
    <tableColumn id="11" name="Orders"/>
    <tableColumn id="12" name="Total Spent"/>
    <tableColumn id="13" name="Avg Order"/>
    <tableColumn id="14" name="Consent"/>
    <tableColumn id="15" name="Days Since Last Order"/>
    <tableColumn id="16" name="Segment"/>
    <tableColumn id="17" name="Email Check"/>
    <tableColumn id="18" name="Mobile Check"/>
    <tableColumn id="19" name="Record Status"/>
    <tableColumn id="20" name="Raw Rows"/>
  </tableColumns>
</table>
</file>

<file path=xl/tables/table3.xml><?xml version="1.0" encoding="utf-8"?>
<table xmlns="http://schemas.openxmlformats.org/spreadsheetml/2006/main" id="3" name="tblDuplicates" displayName="tblDuplicates" ref="A1:G54" headerRowCount="1" totalsRowCount="0" totalsRowShown="0">
  <autoFilter ref="A1:G54"/>
  <tableColumns count="7">
    <tableColumn id="1" name="Kept as"/>
    <tableColumn id="2" name="Customer"/>
    <tableColumn id="3" name="Raw Rows Matched"/>
    <tableColumn id="4" name="Source Refs"/>
    <tableColumn id="5" name="Rows"/>
    <tableColumn id="6" name="Match Rule"/>
    <tableColumn id="7" name="Decision"/>
  </tableColumns>
</table>
</file>

<file path=xl/tables/table4.xml><?xml version="1.0" encoding="utf-8"?>
<table xmlns="http://schemas.openxmlformats.org/spreadsheetml/2006/main" id="4" name="tblFollowUp" displayName="tblFollowUp" ref="A1:K22" headerRowCount="1" totalsRowCount="0" totalsRowShown="0">
  <autoFilter ref="A1:K22"/>
  <tableColumns count="11">
    <tableColumn id="1" name="#"/>
    <tableColumn id="2" name="Customer ID"/>
    <tableColumn id="3" name="Customer"/>
    <tableColumn id="4" name="Segment"/>
    <tableColumn id="5" name="Missing"/>
    <tableColumn id="6" name="Reach Them At"/>
    <tableColumn id="7" name="Next Action"/>
    <tableColumn id="8" name="Owner"/>
    <tableColumn id="9" name="Due"/>
    <tableColumn id="10" name="Status"/>
    <tableColumn id="11" name="Notes"/>
  </tableColumns>
</table>
</file>

<file path=xl/tables/table5.xml><?xml version="1.0" encoding="utf-8"?>
<table xmlns="http://schemas.openxmlformats.org/spreadsheetml/2006/main" id="5" name="tblRaw" displayName="tblRaw" ref="A1:M269" headerRowCount="1" totalsRowCount="0" totalsRowShown="0">
  <autoFilter ref="A1:M269"/>
  <tableColumns count="13">
    <tableColumn id="1" name="Raw Row"/>
    <tableColumn id="2" name="Source"/>
    <tableColumn id="3" name="Source Ref"/>
    <tableColumn id="4" name="Full Name"/>
    <tableColumn id="5" name="Email"/>
    <tableColumn id="6" name="Mobile"/>
    <tableColumn id="7" name="City"/>
    <tableColumn id="8" name="Province"/>
    <tableColumn id="9" name="First Order"/>
    <tableColumn id="10" name="Last Order"/>
    <tableColumn id="11" name="Orders"/>
    <tableColumn id="12" name="Total Spent"/>
    <tableColumn id="13" name="Marketing Cons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ustomer-Data-Cleanup.xlsx" TargetMode="External"/><Relationship Id="rId2" Type="http://schemas.openxmlformats.org/officeDocument/2006/relationships/hyperlink" Target="Customer-Data-Cleanup.xlsx" TargetMode="External"/><Relationship Id="rId3" Type="http://schemas.openxmlformats.org/officeDocument/2006/relationships/hyperlink" Target="Customer-Data-Cleanup.xlsx" TargetMode="External"/><Relationship Id="rId4" Type="http://schemas.openxmlformats.org/officeDocument/2006/relationships/hyperlink" Target="Customer-Data-Cleanup.xlsx" TargetMode="External"/><Relationship Id="rId5" Type="http://schemas.openxmlformats.org/officeDocument/2006/relationships/hyperlink" Target="Customer-Data-Cleanup.xlsx" TargetMode="External"/><Relationship Id="rId6" Type="http://schemas.openxmlformats.org/officeDocument/2006/relationships/hyperlink" Target="Customer-Data-Cleanup.xlsx" TargetMode="External"/><Relationship Id="rId7" Type="http://schemas.openxmlformats.org/officeDocument/2006/relationships/hyperlink" Target="Customer-Data-Cleanup.xlsx" TargetMode="External"/><Relationship Id="rId8" Type="http://schemas.openxmlformats.org/officeDocument/2006/relationships/hyperlink" Target="Customer-Data-Cleanup.xlsx" TargetMode="External"/><Relationship Id="rId9" Type="http://schemas.openxmlformats.org/officeDocument/2006/relationships/hyperlink" Target="Customer-Data-Cleanup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B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8"/>
    <col collapsed="false" customWidth="true" hidden="false" outlineLevel="0" max="4" min="4" style="0" width="3"/>
  </cols>
  <sheetData>
    <row r="1" customFormat="false" ht="13.5" hidden="false" customHeight="true" outlineLevel="0" collapsed="false"/>
    <row r="2" customFormat="false" ht="15" hidden="false" customHeight="false" outlineLevel="0" collapsed="false">
      <c r="B2" s="1" t="s">
        <v>0</v>
      </c>
    </row>
    <row r="3" customFormat="false" ht="33.75" hidden="false" customHeight="true" outlineLevel="0" collapsed="false">
      <c r="B3" s="2" t="s">
        <v>1</v>
      </c>
    </row>
    <row r="4" customFormat="false" ht="43.5" hidden="false" customHeight="true" outlineLevel="0" collapsed="false">
      <c r="B4" s="3" t="s">
        <v>2</v>
      </c>
      <c r="C4" s="3"/>
    </row>
    <row r="6" customFormat="false" ht="15" hidden="false" customHeight="false" outlineLevel="0" collapsed="false">
      <c r="B6" s="4" t="s">
        <v>3</v>
      </c>
      <c r="C6" s="5" t="n">
        <v>46295</v>
      </c>
    </row>
    <row r="7" customFormat="false" ht="15" hidden="false" customHeight="false" outlineLevel="0" collapsed="false">
      <c r="B7" s="4" t="s">
        <v>4</v>
      </c>
      <c r="C7" s="6" t="s">
        <v>5</v>
      </c>
    </row>
    <row r="8" customFormat="false" ht="15" hidden="false" customHeight="false" outlineLevel="0" collapsed="false">
      <c r="B8" s="4" t="s">
        <v>6</v>
      </c>
      <c r="C8" s="6" t="s">
        <v>7</v>
      </c>
    </row>
    <row r="10" customFormat="false" ht="16.15" hidden="false" customHeight="false" outlineLevel="0" collapsed="false">
      <c r="B10" s="7" t="s">
        <v>8</v>
      </c>
    </row>
    <row r="11" customFormat="false" ht="25.5" hidden="false" customHeight="true" outlineLevel="0" collapsed="false">
      <c r="B11" s="8" t="s">
        <v>9</v>
      </c>
      <c r="C11" s="8" t="s">
        <v>10</v>
      </c>
    </row>
    <row r="12" customFormat="false" ht="30" hidden="false" customHeight="true" outlineLevel="0" collapsed="false">
      <c r="B12" s="9" t="s">
        <v>11</v>
      </c>
      <c r="C12" s="10" t="s">
        <v>12</v>
      </c>
    </row>
    <row r="13" customFormat="false" ht="30" hidden="false" customHeight="true" outlineLevel="0" collapsed="false">
      <c r="B13" s="9" t="s">
        <v>13</v>
      </c>
      <c r="C13" s="10" t="s">
        <v>14</v>
      </c>
    </row>
    <row r="14" customFormat="false" ht="30" hidden="false" customHeight="true" outlineLevel="0" collapsed="false">
      <c r="B14" s="9" t="s">
        <v>15</v>
      </c>
      <c r="C14" s="10" t="s">
        <v>16</v>
      </c>
    </row>
    <row r="15" customFormat="false" ht="30" hidden="false" customHeight="true" outlineLevel="0" collapsed="false">
      <c r="B15" s="9" t="s">
        <v>17</v>
      </c>
      <c r="C15" s="10" t="s">
        <v>18</v>
      </c>
    </row>
    <row r="16" customFormat="false" ht="30" hidden="false" customHeight="true" outlineLevel="0" collapsed="false">
      <c r="B16" s="9" t="s">
        <v>19</v>
      </c>
      <c r="C16" s="10" t="s">
        <v>20</v>
      </c>
    </row>
    <row r="17" customFormat="false" ht="30" hidden="false" customHeight="true" outlineLevel="0" collapsed="false">
      <c r="B17" s="9" t="s">
        <v>21</v>
      </c>
      <c r="C17" s="10" t="s">
        <v>22</v>
      </c>
    </row>
    <row r="18" customFormat="false" ht="30" hidden="false" customHeight="true" outlineLevel="0" collapsed="false">
      <c r="B18" s="9" t="s">
        <v>23</v>
      </c>
      <c r="C18" s="10" t="s">
        <v>24</v>
      </c>
    </row>
    <row r="19" customFormat="false" ht="30" hidden="false" customHeight="true" outlineLevel="0" collapsed="false">
      <c r="B19" s="9" t="s">
        <v>25</v>
      </c>
      <c r="C19" s="10" t="s">
        <v>26</v>
      </c>
    </row>
    <row r="20" customFormat="false" ht="30" hidden="false" customHeight="true" outlineLevel="0" collapsed="false">
      <c r="B20" s="9" t="s">
        <v>27</v>
      </c>
      <c r="C20" s="10" t="s">
        <v>28</v>
      </c>
    </row>
    <row r="22" customFormat="false" ht="16.15" hidden="false" customHeight="false" outlineLevel="0" collapsed="false">
      <c r="B22" s="7" t="s">
        <v>29</v>
      </c>
    </row>
    <row r="23" customFormat="false" ht="45.75" hidden="false" customHeight="true" outlineLevel="0" collapsed="false">
      <c r="B23" s="11" t="s">
        <v>30</v>
      </c>
      <c r="C23" s="12" t="s">
        <v>31</v>
      </c>
    </row>
    <row r="24" customFormat="false" ht="45.75" hidden="false" customHeight="true" outlineLevel="0" collapsed="false">
      <c r="B24" s="11" t="s">
        <v>32</v>
      </c>
      <c r="C24" s="12" t="s">
        <v>33</v>
      </c>
    </row>
    <row r="25" customFormat="false" ht="45.75" hidden="false" customHeight="true" outlineLevel="0" collapsed="false">
      <c r="B25" s="11" t="s">
        <v>34</v>
      </c>
      <c r="C25" s="12" t="s">
        <v>35</v>
      </c>
    </row>
    <row r="26" customFormat="false" ht="45.75" hidden="false" customHeight="true" outlineLevel="0" collapsed="false">
      <c r="B26" s="11" t="s">
        <v>36</v>
      </c>
      <c r="C26" s="12" t="s">
        <v>37</v>
      </c>
    </row>
    <row r="27" customFormat="false" ht="45.75" hidden="false" customHeight="true" outlineLevel="0" collapsed="false">
      <c r="B27" s="11" t="s">
        <v>38</v>
      </c>
      <c r="C27" s="12" t="s">
        <v>39</v>
      </c>
    </row>
    <row r="28" customFormat="false" ht="45.75" hidden="false" customHeight="true" outlineLevel="0" collapsed="false">
      <c r="B28" s="11" t="s">
        <v>40</v>
      </c>
      <c r="C28" s="12" t="s">
        <v>41</v>
      </c>
    </row>
    <row r="30" customFormat="false" ht="16.15" hidden="false" customHeight="false" outlineLevel="0" collapsed="false">
      <c r="B30" s="7" t="s">
        <v>42</v>
      </c>
    </row>
    <row r="31" customFormat="false" ht="19.5" hidden="false" customHeight="true" outlineLevel="0" collapsed="false">
      <c r="B31" s="13"/>
      <c r="C31" s="14" t="s">
        <v>43</v>
      </c>
    </row>
    <row r="32" customFormat="false" ht="19.5" hidden="false" customHeight="true" outlineLevel="0" collapsed="false">
      <c r="B32" s="15"/>
      <c r="C32" s="14" t="s">
        <v>44</v>
      </c>
    </row>
    <row r="33" customFormat="false" ht="19.5" hidden="false" customHeight="true" outlineLevel="0" collapsed="false">
      <c r="B33" s="16"/>
      <c r="C33" s="14" t="s">
        <v>45</v>
      </c>
    </row>
  </sheetData>
  <mergeCells count="1">
    <mergeCell ref="B4:C4"/>
  </mergeCells>
  <hyperlinks>
    <hyperlink ref="B12" r:id="rId1" location="'Dashboard'!A1" display="Dashboard"/>
    <hyperlink ref="B13" r:id="rId2" location="'Customer%20Master'!A1" display="Customer Master"/>
    <hyperlink ref="B14" r:id="rId3" location="'Raw%20Combined'!A1" display="Raw Combined"/>
    <hyperlink ref="B15" r:id="rId4" location="'Change%20Log'!A1" display="Change Log"/>
    <hyperlink ref="B16" r:id="rId5" location="'Duplicate%20Log'!A1" display="Duplicate Log"/>
    <hyperlink ref="B17" r:id="rId6" location="'Follow-up%20Queue'!A1" display="Follow-up Queue"/>
    <hyperlink ref="B18" r:id="rId7" location="'Data%20Quality'!A1" display="Data Quality"/>
    <hyperlink ref="B19" r:id="rId8" location="'Data%20Dictionary'!A1" display="Data Dictionary"/>
    <hyperlink ref="B20" r:id="rId9" location="'Lists'!A1" display="List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B1:M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7"/>
    <col collapsed="false" customWidth="true" hidden="false" outlineLevel="0" max="13" min="3" style="0" width="12.5"/>
    <col collapsed="false" customWidth="true" hidden="false" outlineLevel="0" max="14" min="14" style="0" width="3"/>
  </cols>
  <sheetData>
    <row r="1" customFormat="false" ht="12" hidden="false" customHeight="true" outlineLevel="0" collapsed="false"/>
    <row r="2" customFormat="false" ht="15" hidden="false" customHeight="false" outlineLevel="0" collapsed="false">
      <c r="B2" s="1" t="s">
        <v>46</v>
      </c>
    </row>
    <row r="3" customFormat="false" ht="30" hidden="false" customHeight="true" outlineLevel="0" collapsed="false">
      <c r="B3" s="17" t="s">
        <v>47</v>
      </c>
    </row>
    <row r="4" customFormat="false" ht="15" hidden="false" customHeight="false" outlineLevel="0" collapsed="false">
      <c r="B4" s="18" t="str">
        <f aca="false">"As of "&amp;TEXT(AsOfDate,"mmmm d, yyyy")&amp;"  ·  Three source files combined, cleaned and checked"</f>
        <v>As of September 30, 2026  ·  Three source files combined, cleaned and checked</v>
      </c>
    </row>
    <row r="5" customFormat="false" ht="7.5" hidden="false" customHeight="true" outlineLevel="0" collapsed="false"/>
    <row r="6" customFormat="false" ht="21.75" hidden="false" customHeight="true" outlineLevel="0" collapsed="false">
      <c r="B6" s="19" t="s">
        <v>48</v>
      </c>
      <c r="C6" s="19"/>
      <c r="D6" s="19"/>
      <c r="E6" s="19" t="s">
        <v>49</v>
      </c>
      <c r="F6" s="19"/>
      <c r="G6" s="19"/>
      <c r="H6" s="19" t="s">
        <v>50</v>
      </c>
      <c r="I6" s="19"/>
      <c r="J6" s="19"/>
      <c r="K6" s="20" t="s">
        <v>51</v>
      </c>
      <c r="L6" s="20"/>
      <c r="M6" s="20"/>
    </row>
    <row r="7" customFormat="false" ht="37.5" hidden="false" customHeight="true" outlineLevel="0" collapsed="false">
      <c r="B7" s="21" t="n">
        <f aca="false">COUNTA('Raw Combined'!A2:A269)</f>
        <v>268</v>
      </c>
      <c r="C7" s="21"/>
      <c r="D7" s="21"/>
      <c r="E7" s="21" t="n">
        <f aca="false">B7-K7</f>
        <v>62</v>
      </c>
      <c r="F7" s="21"/>
      <c r="G7" s="21"/>
      <c r="H7" s="21" t="n">
        <f aca="false">COUNTA('Change Log'!A2:A1657)</f>
        <v>1656</v>
      </c>
      <c r="I7" s="21"/>
      <c r="J7" s="21"/>
      <c r="K7" s="22" t="n">
        <f aca="false">COUNTA('Customer Master'!A2:A207)</f>
        <v>206</v>
      </c>
      <c r="L7" s="22"/>
      <c r="M7" s="22"/>
    </row>
    <row r="8" customFormat="false" ht="21.75" hidden="false" customHeight="true" outlineLevel="0" collapsed="false">
      <c r="B8" s="23" t="s">
        <v>52</v>
      </c>
      <c r="C8" s="23"/>
      <c r="D8" s="23"/>
      <c r="E8" s="23" t="str">
        <f aca="false">TEXT(COUNTA('Duplicate Log'!A2:A54),"0")&amp;" customers matched"</f>
        <v>53 customers matched</v>
      </c>
      <c r="F8" s="23"/>
      <c r="G8" s="23"/>
      <c r="H8" s="23" t="s">
        <v>53</v>
      </c>
      <c r="I8" s="23"/>
      <c r="J8" s="23"/>
      <c r="K8" s="24" t="str">
        <f aca="false">TEXT(COUNTIF('Customer Master'!S2:S207,"Complete"),"0")&amp;" complete, ready for CRM"</f>
        <v>185 complete, ready for CRM</v>
      </c>
      <c r="L8" s="24"/>
      <c r="M8" s="24"/>
    </row>
    <row r="9" customFormat="false" ht="9.75" hidden="false" customHeight="true" outlineLevel="0" collapsed="false"/>
    <row r="10" customFormat="false" ht="21.75" hidden="false" customHeight="true" outlineLevel="0" collapsed="false">
      <c r="B10" s="19" t="s">
        <v>54</v>
      </c>
      <c r="C10" s="19"/>
      <c r="D10" s="19"/>
      <c r="E10" s="19" t="s">
        <v>55</v>
      </c>
      <c r="F10" s="19"/>
      <c r="G10" s="19"/>
      <c r="H10" s="19" t="s">
        <v>56</v>
      </c>
      <c r="I10" s="19"/>
      <c r="J10" s="19"/>
      <c r="K10" s="19" t="s">
        <v>57</v>
      </c>
      <c r="L10" s="19"/>
      <c r="M10" s="19"/>
    </row>
    <row r="11" customFormat="false" ht="33.75" hidden="false" customHeight="true" outlineLevel="0" collapsed="false">
      <c r="B11" s="25" t="n">
        <f aca="false">'Data Quality'!E10</f>
        <v>0.99745145631068</v>
      </c>
      <c r="C11" s="25"/>
      <c r="D11" s="25"/>
      <c r="E11" s="26" t="n">
        <f aca="false">SUM('Customer Master'!L2:L207)</f>
        <v>2009530</v>
      </c>
      <c r="F11" s="26"/>
      <c r="G11" s="26"/>
      <c r="H11" s="27" t="n">
        <f aca="false">COUNTIF('Customer Master'!P2:P207,"VIP")</f>
        <v>33</v>
      </c>
      <c r="I11" s="27"/>
      <c r="J11" s="27"/>
      <c r="K11" s="27" t="n">
        <f aca="false">COUNTIF('Follow-up Queue'!J2:J22,"Open")</f>
        <v>21</v>
      </c>
      <c r="L11" s="27"/>
      <c r="M11" s="27"/>
    </row>
    <row r="12" customFormat="false" ht="21.75" hidden="false" customHeight="true" outlineLevel="0" collapsed="false">
      <c r="B12" s="23" t="str">
        <f aca="false">"Up from "&amp;TEXT('Data Quality'!D10,"0%")&amp;" in the raw file"</f>
        <v>Up from 63% in the raw file</v>
      </c>
      <c r="C12" s="23"/>
      <c r="D12" s="23"/>
      <c r="E12" s="23" t="str">
        <f aca="false">TEXT(SUM('Customer Master'!K2:K207),"#,##0")&amp;" orders on record"</f>
        <v>1,555 orders on record</v>
      </c>
      <c r="F12" s="23"/>
      <c r="G12" s="23"/>
      <c r="H12" s="23" t="str">
        <f aca="false">TEXT(SUMIF('Customer Master'!P2:P207,"VIP",'Customer Master'!L2:L207)/E11,"0%")&amp;" of all spend"</f>
        <v>48% of all spend</v>
      </c>
      <c r="I12" s="23"/>
      <c r="J12" s="23"/>
      <c r="K12" s="23" t="s">
        <v>58</v>
      </c>
      <c r="L12" s="23"/>
      <c r="M12" s="23"/>
    </row>
    <row r="14" customFormat="false" ht="15" hidden="false" customHeight="false" outlineLevel="0" collapsed="false">
      <c r="B14" s="28" t="s">
        <v>59</v>
      </c>
    </row>
    <row r="15" customFormat="false" ht="21.75" hidden="false" customHeight="true" outlineLevel="0" collapsed="false">
      <c r="B15" s="29" t="s">
        <v>60</v>
      </c>
      <c r="C15" s="30" t="s">
        <v>61</v>
      </c>
      <c r="D15" s="30" t="s">
        <v>62</v>
      </c>
    </row>
    <row r="16" customFormat="false" ht="18.75" hidden="false" customHeight="true" outlineLevel="0" collapsed="false">
      <c r="B16" s="31" t="s">
        <v>63</v>
      </c>
      <c r="C16" s="32" t="n">
        <f aca="false">'Data Quality'!D6</f>
        <v>0.978</v>
      </c>
      <c r="D16" s="32" t="n">
        <f aca="false">'Data Quality'!E6</f>
        <v>0.989805825242718</v>
      </c>
    </row>
    <row r="17" customFormat="false" ht="18.75" hidden="false" customHeight="true" outlineLevel="0" collapsed="false">
      <c r="B17" s="31" t="s">
        <v>64</v>
      </c>
      <c r="C17" s="32" t="n">
        <f aca="false">'Data Quality'!D7</f>
        <v>0.3427</v>
      </c>
      <c r="D17" s="32" t="n">
        <f aca="false">'Data Quality'!E7</f>
        <v>1</v>
      </c>
    </row>
    <row r="18" customFormat="false" ht="18.75" hidden="false" customHeight="true" outlineLevel="0" collapsed="false">
      <c r="B18" s="31" t="s">
        <v>65</v>
      </c>
      <c r="C18" s="32" t="n">
        <f aca="false">'Data Quality'!D8</f>
        <v>0.4142</v>
      </c>
      <c r="D18" s="32" t="n">
        <f aca="false">'Data Quality'!E8</f>
        <v>1</v>
      </c>
    </row>
    <row r="19" customFormat="false" ht="18.75" hidden="false" customHeight="true" outlineLevel="0" collapsed="false">
      <c r="B19" s="31" t="s">
        <v>66</v>
      </c>
      <c r="C19" s="32" t="n">
        <f aca="false">'Data Quality'!D9</f>
        <v>0.7687</v>
      </c>
      <c r="D19" s="32" t="n">
        <f aca="false">'Data Quality'!E9</f>
        <v>1</v>
      </c>
    </row>
    <row r="30" customFormat="false" ht="15" hidden="false" customHeight="false" outlineLevel="0" collapsed="false">
      <c r="B30" s="28" t="s">
        <v>67</v>
      </c>
    </row>
    <row r="31" customFormat="false" ht="21.75" hidden="false" customHeight="true" outlineLevel="0" collapsed="false">
      <c r="B31" s="29" t="s">
        <v>68</v>
      </c>
      <c r="C31" s="30" t="s">
        <v>69</v>
      </c>
      <c r="D31" s="30" t="s">
        <v>70</v>
      </c>
    </row>
    <row r="32" customFormat="false" ht="18.75" hidden="false" customHeight="true" outlineLevel="0" collapsed="false">
      <c r="B32" s="31" t="s">
        <v>71</v>
      </c>
      <c r="C32" s="33" t="n">
        <f aca="false">COUNTIF('Customer Master'!P2:P207,B32)</f>
        <v>33</v>
      </c>
      <c r="D32" s="34" t="n">
        <f aca="false">SUMIF('Customer Master'!P2:P207,B32,'Customer Master'!L2:L207)</f>
        <v>963450</v>
      </c>
    </row>
    <row r="33" customFormat="false" ht="18.75" hidden="false" customHeight="true" outlineLevel="0" collapsed="false">
      <c r="B33" s="31" t="s">
        <v>72</v>
      </c>
      <c r="C33" s="33" t="n">
        <f aca="false">COUNTIF('Customer Master'!P2:P207,B33)</f>
        <v>68</v>
      </c>
      <c r="D33" s="34" t="n">
        <f aca="false">SUMIF('Customer Master'!P2:P207,B33,'Customer Master'!L2:L207)</f>
        <v>547270</v>
      </c>
    </row>
    <row r="34" customFormat="false" ht="18.75" hidden="false" customHeight="true" outlineLevel="0" collapsed="false">
      <c r="B34" s="31" t="s">
        <v>73</v>
      </c>
      <c r="C34" s="33" t="n">
        <f aca="false">COUNTIF('Customer Master'!P2:P207,B34)</f>
        <v>26</v>
      </c>
      <c r="D34" s="34" t="n">
        <f aca="false">SUMIF('Customer Master'!P2:P207,B34,'Customer Master'!L2:L207)</f>
        <v>65880</v>
      </c>
    </row>
    <row r="35" customFormat="false" ht="18.75" hidden="false" customHeight="true" outlineLevel="0" collapsed="false">
      <c r="B35" s="31" t="s">
        <v>74</v>
      </c>
      <c r="C35" s="33" t="n">
        <f aca="false">COUNTIF('Customer Master'!P2:P207,B35)</f>
        <v>44</v>
      </c>
      <c r="D35" s="34" t="n">
        <f aca="false">SUMIF('Customer Master'!P2:P207,B35,'Customer Master'!L2:L207)</f>
        <v>294900</v>
      </c>
    </row>
    <row r="36" customFormat="false" ht="18.75" hidden="false" customHeight="true" outlineLevel="0" collapsed="false">
      <c r="B36" s="31" t="s">
        <v>75</v>
      </c>
      <c r="C36" s="33" t="n">
        <f aca="false">COUNTIF('Customer Master'!P2:P207,B36)</f>
        <v>35</v>
      </c>
      <c r="D36" s="34" t="n">
        <f aca="false">SUMIF('Customer Master'!P2:P207,B36,'Customer Master'!L2:L207)</f>
        <v>138030</v>
      </c>
    </row>
    <row r="46" customFormat="false" ht="15" hidden="false" customHeight="false" outlineLevel="0" collapsed="false">
      <c r="B46" s="28" t="s">
        <v>76</v>
      </c>
    </row>
    <row r="47" customFormat="false" ht="21.75" hidden="false" customHeight="true" outlineLevel="0" collapsed="false">
      <c r="B47" s="29" t="s">
        <v>77</v>
      </c>
      <c r="C47" s="30" t="s">
        <v>69</v>
      </c>
      <c r="D47" s="30" t="s">
        <v>78</v>
      </c>
    </row>
    <row r="48" customFormat="false" ht="18.75" hidden="false" customHeight="true" outlineLevel="0" collapsed="false">
      <c r="B48" s="31" t="s">
        <v>79</v>
      </c>
      <c r="C48" s="33" t="n">
        <f aca="false">COUNTIF('Customer Master'!G2:G207,B48)</f>
        <v>106</v>
      </c>
      <c r="D48" s="32" t="n">
        <f aca="false">C48/COUNTA('Customer Master'!A2:A207)</f>
        <v>0.514563106796117</v>
      </c>
    </row>
    <row r="49" customFormat="false" ht="18.75" hidden="false" customHeight="true" outlineLevel="0" collapsed="false">
      <c r="B49" s="31" t="s">
        <v>80</v>
      </c>
      <c r="C49" s="33" t="n">
        <f aca="false">COUNTIF('Customer Master'!G2:G207,B49)</f>
        <v>59</v>
      </c>
      <c r="D49" s="32" t="n">
        <f aca="false">C49/COUNTA('Customer Master'!A2:A207)</f>
        <v>0.286407766990291</v>
      </c>
    </row>
    <row r="50" customFormat="false" ht="18.75" hidden="false" customHeight="true" outlineLevel="0" collapsed="false">
      <c r="B50" s="31" t="s">
        <v>81</v>
      </c>
      <c r="C50" s="33" t="n">
        <f aca="false">COUNTIF('Customer Master'!G2:G207,B50)</f>
        <v>16</v>
      </c>
      <c r="D50" s="32" t="n">
        <f aca="false">C50/COUNTA('Customer Master'!A2:A207)</f>
        <v>0.0776699029126214</v>
      </c>
    </row>
    <row r="51" customFormat="false" ht="18.75" hidden="false" customHeight="true" outlineLevel="0" collapsed="false">
      <c r="B51" s="31" t="s">
        <v>82</v>
      </c>
      <c r="C51" s="33" t="n">
        <f aca="false">COUNTIF('Customer Master'!G2:G207,B51)</f>
        <v>14</v>
      </c>
      <c r="D51" s="32" t="n">
        <f aca="false">C51/COUNTA('Customer Master'!A2:A207)</f>
        <v>0.0679611650485437</v>
      </c>
    </row>
    <row r="52" customFormat="false" ht="18.75" hidden="false" customHeight="true" outlineLevel="0" collapsed="false">
      <c r="B52" s="31" t="s">
        <v>83</v>
      </c>
      <c r="C52" s="33" t="n">
        <f aca="false">COUNTIF('Customer Master'!G2:G207,B52)</f>
        <v>8</v>
      </c>
      <c r="D52" s="32" t="n">
        <f aca="false">C52/COUNTA('Customer Master'!A2:A207)</f>
        <v>0.0388349514563107</v>
      </c>
    </row>
    <row r="53" customFormat="false" ht="18.75" hidden="false" customHeight="true" outlineLevel="0" collapsed="false">
      <c r="B53" s="31" t="s">
        <v>84</v>
      </c>
      <c r="C53" s="33" t="n">
        <f aca="false">COUNTIF('Customer Master'!G2:G207,B53)</f>
        <v>3</v>
      </c>
      <c r="D53" s="32" t="n">
        <f aca="false">C53/COUNTA('Customer Master'!A2:A207)</f>
        <v>0.0145631067961165</v>
      </c>
    </row>
    <row r="62" customFormat="false" ht="15" hidden="false" customHeight="false" outlineLevel="0" collapsed="false">
      <c r="B62" s="28" t="s">
        <v>85</v>
      </c>
      <c r="G62" s="28" t="s">
        <v>86</v>
      </c>
    </row>
    <row r="63" customFormat="false" ht="21.75" hidden="false" customHeight="true" outlineLevel="0" collapsed="false">
      <c r="B63" s="29" t="s">
        <v>87</v>
      </c>
      <c r="C63" s="30" t="s">
        <v>88</v>
      </c>
      <c r="D63" s="30" t="s">
        <v>78</v>
      </c>
      <c r="G63" s="35" t="s">
        <v>89</v>
      </c>
      <c r="H63" s="35"/>
      <c r="I63" s="30" t="s">
        <v>69</v>
      </c>
    </row>
    <row r="64" customFormat="false" ht="18.75" hidden="false" customHeight="true" outlineLevel="0" collapsed="false">
      <c r="B64" s="31" t="s">
        <v>90</v>
      </c>
      <c r="C64" s="33" t="n">
        <f aca="false">COUNTIF('Raw Combined'!B2:B269,"WEB")</f>
        <v>109</v>
      </c>
      <c r="D64" s="32" t="n">
        <f aca="false">C64/COUNTA('Raw Combined'!A2:A269)</f>
        <v>0.406716417910448</v>
      </c>
      <c r="G64" s="31" t="s">
        <v>91</v>
      </c>
      <c r="H64" s="31"/>
      <c r="I64" s="36" t="n">
        <f aca="false">COUNTIF('Duplicate Log'!F2:F54,G64)</f>
        <v>49</v>
      </c>
    </row>
    <row r="65" customFormat="false" ht="18.75" hidden="false" customHeight="true" outlineLevel="0" collapsed="false">
      <c r="B65" s="31" t="s">
        <v>92</v>
      </c>
      <c r="C65" s="33" t="n">
        <f aca="false">COUNTIF('Raw Combined'!B2:B269,"FB")</f>
        <v>82</v>
      </c>
      <c r="D65" s="32" t="n">
        <f aca="false">C65/COUNTA('Raw Combined'!A2:A269)</f>
        <v>0.305970149253731</v>
      </c>
      <c r="G65" s="31" t="s">
        <v>93</v>
      </c>
      <c r="H65" s="31"/>
      <c r="I65" s="36" t="n">
        <f aca="false">COUNTIF('Duplicate Log'!F2:F54,G65)</f>
        <v>3</v>
      </c>
    </row>
    <row r="66" customFormat="false" ht="18.75" hidden="false" customHeight="true" outlineLevel="0" collapsed="false">
      <c r="B66" s="31" t="s">
        <v>94</v>
      </c>
      <c r="C66" s="33" t="n">
        <f aca="false">COUNTIF('Raw Combined'!B2:B269,"POS")</f>
        <v>77</v>
      </c>
      <c r="D66" s="32" t="n">
        <f aca="false">C66/COUNTA('Raw Combined'!A2:A269)</f>
        <v>0.287313432835821</v>
      </c>
      <c r="G66" s="31" t="s">
        <v>95</v>
      </c>
      <c r="H66" s="31"/>
      <c r="I66" s="36" t="n">
        <f aca="false">COUNTIF('Duplicate Log'!F2:F54,G66)</f>
        <v>1</v>
      </c>
    </row>
    <row r="68" customFormat="false" ht="15" hidden="false" customHeight="false" outlineLevel="0" collapsed="false">
      <c r="B68" s="37" t="s">
        <v>96</v>
      </c>
    </row>
  </sheetData>
  <mergeCells count="28"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G63:H63"/>
    <mergeCell ref="G64:H64"/>
    <mergeCell ref="G65:H65"/>
    <mergeCell ref="G66:H6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A1:T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10" min="8" style="0" width="14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6"/>
    <col collapsed="false" customWidth="true" hidden="false" outlineLevel="0" max="20" min="20" style="0" width="22"/>
  </cols>
  <sheetData>
    <row r="1" customFormat="false" ht="31.5" hidden="false" customHeight="true" outlineLevel="0" collapsed="false">
      <c r="A1" s="8" t="s">
        <v>97</v>
      </c>
      <c r="B1" s="8" t="s">
        <v>98</v>
      </c>
      <c r="C1" s="8" t="s">
        <v>99</v>
      </c>
      <c r="D1" s="8" t="s">
        <v>100</v>
      </c>
      <c r="E1" s="8" t="s">
        <v>101</v>
      </c>
      <c r="F1" s="8" t="s">
        <v>102</v>
      </c>
      <c r="G1" s="8" t="s">
        <v>77</v>
      </c>
      <c r="H1" s="8" t="s">
        <v>103</v>
      </c>
      <c r="I1" s="8" t="s">
        <v>104</v>
      </c>
      <c r="J1" s="8" t="s">
        <v>105</v>
      </c>
      <c r="K1" s="8" t="s">
        <v>106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68</v>
      </c>
      <c r="Q1" s="8" t="s">
        <v>111</v>
      </c>
      <c r="R1" s="8" t="s">
        <v>112</v>
      </c>
      <c r="S1" s="8" t="s">
        <v>113</v>
      </c>
      <c r="T1" s="8" t="s">
        <v>114</v>
      </c>
    </row>
    <row r="2" customFormat="false" ht="18.75" hidden="false" customHeight="true" outlineLevel="0" collapsed="false">
      <c r="A2" s="38" t="s">
        <v>115</v>
      </c>
      <c r="B2" s="39" t="s">
        <v>116</v>
      </c>
      <c r="C2" s="39" t="s">
        <v>117</v>
      </c>
      <c r="D2" s="39" t="s">
        <v>118</v>
      </c>
      <c r="E2" s="39" t="s">
        <v>119</v>
      </c>
      <c r="F2" s="39" t="s">
        <v>120</v>
      </c>
      <c r="G2" s="39" t="s">
        <v>80</v>
      </c>
      <c r="H2" s="39" t="s">
        <v>121</v>
      </c>
      <c r="I2" s="40" t="n">
        <v>44991</v>
      </c>
      <c r="J2" s="40" t="n">
        <v>45821</v>
      </c>
      <c r="K2" s="33" t="n">
        <v>2</v>
      </c>
      <c r="L2" s="34" t="n">
        <v>3390</v>
      </c>
      <c r="M2" s="41" t="n">
        <f aca="false">IFERROR(L2/K2,0)</f>
        <v>1695</v>
      </c>
      <c r="N2" s="39"/>
      <c r="O2" s="42" t="n">
        <f aca="false">IF(J2="","",AsOfDate-J2)</f>
        <v>474</v>
      </c>
      <c r="P2" s="43" t="str">
        <f aca="false">IF(A2="","",IF(AsOfDate-I2&lt;=90,"New",IF(AND(O2&lt;=180,L2&gt;=15000),"VIP",IF(O2&lt;=180,"Regular",IF(O2&lt;=365,"At risk","Lapsed")))))</f>
        <v>Lapsed</v>
      </c>
      <c r="Q2" s="43" t="str">
        <f aca="false">IF(D2="","Missing",IF(COUNTIF($D$2:$D$207,D2)&gt;1,"Duplicate",IF(AND(LEN(D2)-LEN(SUBSTITUTE(D2,"@",""))=1,ISNUMBER(SEARCH(".",D2,SEARCH("@",D2))),ISERROR(SEARCH(" ",D2))),"Valid","Invalid")))</f>
        <v>Valid</v>
      </c>
      <c r="R2" s="43" t="str">
        <f aca="false">IF(E2="","Missing",IF(COUNTIF($E$2:$E$207,E2)&gt;1,"Duplicate",IF(AND(LEN(E2)=16,LEFT(E2,5)="+63 9"),"Valid","Check")))</f>
        <v>Valid</v>
      </c>
      <c r="S2" s="43" t="str">
        <f aca="false">IF(AND(Q2="Valid",R2="Valid",N2&lt;&gt;""),"Complete","Needs follow-up")</f>
        <v>Needs follow-up</v>
      </c>
      <c r="T2" s="44" t="s">
        <v>122</v>
      </c>
    </row>
    <row r="3" customFormat="false" ht="18.75" hidden="false" customHeight="true" outlineLevel="0" collapsed="false">
      <c r="A3" s="38" t="s">
        <v>123</v>
      </c>
      <c r="B3" s="39" t="s">
        <v>124</v>
      </c>
      <c r="C3" s="39" t="s">
        <v>125</v>
      </c>
      <c r="D3" s="39" t="s">
        <v>126</v>
      </c>
      <c r="E3" s="39" t="s">
        <v>127</v>
      </c>
      <c r="F3" s="39" t="s">
        <v>128</v>
      </c>
      <c r="G3" s="39" t="s">
        <v>79</v>
      </c>
      <c r="H3" s="39" t="s">
        <v>129</v>
      </c>
      <c r="I3" s="40" t="n">
        <v>45046</v>
      </c>
      <c r="J3" s="40" t="n">
        <v>45446</v>
      </c>
      <c r="K3" s="33" t="n">
        <v>3</v>
      </c>
      <c r="L3" s="34" t="n">
        <v>2010</v>
      </c>
      <c r="M3" s="41" t="n">
        <f aca="false">IFERROR(L3/K3,0)</f>
        <v>670</v>
      </c>
      <c r="N3" s="39" t="s">
        <v>130</v>
      </c>
      <c r="O3" s="42" t="n">
        <f aca="false">IF(J3="","",AsOfDate-J3)</f>
        <v>849</v>
      </c>
      <c r="P3" s="43" t="str">
        <f aca="false">IF(A3="","",IF(AsOfDate-I3&lt;=90,"New",IF(AND(O3&lt;=180,L3&gt;=15000),"VIP",IF(O3&lt;=180,"Regular",IF(O3&lt;=365,"At risk","Lapsed")))))</f>
        <v>Lapsed</v>
      </c>
      <c r="Q3" s="43" t="str">
        <f aca="false">IF(D3="","Missing",IF(COUNTIF($D$2:$D$207,D3)&gt;1,"Duplicate",IF(AND(LEN(D3)-LEN(SUBSTITUTE(D3,"@",""))=1,ISNUMBER(SEARCH(".",D3,SEARCH("@",D3))),ISERROR(SEARCH(" ",D3))),"Valid","Invalid")))</f>
        <v>Valid</v>
      </c>
      <c r="R3" s="43" t="str">
        <f aca="false">IF(E3="","Missing",IF(COUNTIF($E$2:$E$207,E3)&gt;1,"Duplicate",IF(AND(LEN(E3)=16,LEFT(E3,5)="+63 9"),"Valid","Check")))</f>
        <v>Valid</v>
      </c>
      <c r="S3" s="43" t="str">
        <f aca="false">IF(AND(Q3="Valid",R3="Valid",N3&lt;&gt;""),"Complete","Needs follow-up")</f>
        <v>Complete</v>
      </c>
      <c r="T3" s="44" t="s">
        <v>131</v>
      </c>
    </row>
    <row r="4" customFormat="false" ht="18.75" hidden="false" customHeight="true" outlineLevel="0" collapsed="false">
      <c r="A4" s="38" t="s">
        <v>132</v>
      </c>
      <c r="B4" s="39" t="s">
        <v>133</v>
      </c>
      <c r="C4" s="39" t="s">
        <v>134</v>
      </c>
      <c r="D4" s="39" t="s">
        <v>135</v>
      </c>
      <c r="E4" s="39" t="s">
        <v>136</v>
      </c>
      <c r="F4" s="39" t="s">
        <v>137</v>
      </c>
      <c r="G4" s="39" t="s">
        <v>83</v>
      </c>
      <c r="H4" s="39" t="s">
        <v>129</v>
      </c>
      <c r="I4" s="40" t="n">
        <v>45061</v>
      </c>
      <c r="J4" s="40" t="n">
        <v>45574</v>
      </c>
      <c r="K4" s="33" t="n">
        <v>2</v>
      </c>
      <c r="L4" s="34" t="n">
        <v>1480</v>
      </c>
      <c r="M4" s="41" t="n">
        <f aca="false">IFERROR(L4/K4,0)</f>
        <v>740</v>
      </c>
      <c r="N4" s="39" t="s">
        <v>130</v>
      </c>
      <c r="O4" s="42" t="n">
        <f aca="false">IF(J4="","",AsOfDate-J4)</f>
        <v>721</v>
      </c>
      <c r="P4" s="43" t="str">
        <f aca="false">IF(A4="","",IF(AsOfDate-I4&lt;=90,"New",IF(AND(O4&lt;=180,L4&gt;=15000),"VIP",IF(O4&lt;=180,"Regular",IF(O4&lt;=365,"At risk","Lapsed")))))</f>
        <v>Lapsed</v>
      </c>
      <c r="Q4" s="43" t="str">
        <f aca="false">IF(D4="","Missing",IF(COUNTIF($D$2:$D$207,D4)&gt;1,"Duplicate",IF(AND(LEN(D4)-LEN(SUBSTITUTE(D4,"@",""))=1,ISNUMBER(SEARCH(".",D4,SEARCH("@",D4))),ISERROR(SEARCH(" ",D4))),"Valid","Invalid")))</f>
        <v>Valid</v>
      </c>
      <c r="R4" s="43" t="str">
        <f aca="false">IF(E4="","Missing",IF(COUNTIF($E$2:$E$207,E4)&gt;1,"Duplicate",IF(AND(LEN(E4)=16,LEFT(E4,5)="+63 9"),"Valid","Check")))</f>
        <v>Valid</v>
      </c>
      <c r="S4" s="43" t="str">
        <f aca="false">IF(AND(Q4="Valid",R4="Valid",N4&lt;&gt;""),"Complete","Needs follow-up")</f>
        <v>Complete</v>
      </c>
      <c r="T4" s="44" t="s">
        <v>138</v>
      </c>
    </row>
    <row r="5" customFormat="false" ht="18.75" hidden="false" customHeight="true" outlineLevel="0" collapsed="false">
      <c r="A5" s="38" t="s">
        <v>139</v>
      </c>
      <c r="B5" s="39" t="s">
        <v>140</v>
      </c>
      <c r="C5" s="39" t="s">
        <v>141</v>
      </c>
      <c r="D5" s="39" t="s">
        <v>142</v>
      </c>
      <c r="E5" s="39" t="s">
        <v>143</v>
      </c>
      <c r="F5" s="39" t="s">
        <v>128</v>
      </c>
      <c r="G5" s="39" t="s">
        <v>79</v>
      </c>
      <c r="H5" s="39" t="s">
        <v>121</v>
      </c>
      <c r="I5" s="40" t="n">
        <v>45074</v>
      </c>
      <c r="J5" s="40" t="n">
        <v>45891</v>
      </c>
      <c r="K5" s="33" t="n">
        <v>5</v>
      </c>
      <c r="L5" s="34" t="n">
        <v>6910</v>
      </c>
      <c r="M5" s="41" t="n">
        <f aca="false">IFERROR(L5/K5,0)</f>
        <v>1382</v>
      </c>
      <c r="N5" s="39" t="s">
        <v>130</v>
      </c>
      <c r="O5" s="42" t="n">
        <f aca="false">IF(J5="","",AsOfDate-J5)</f>
        <v>404</v>
      </c>
      <c r="P5" s="43" t="str">
        <f aca="false">IF(A5="","",IF(AsOfDate-I5&lt;=90,"New",IF(AND(O5&lt;=180,L5&gt;=15000),"VIP",IF(O5&lt;=180,"Regular",IF(O5&lt;=365,"At risk","Lapsed")))))</f>
        <v>Lapsed</v>
      </c>
      <c r="Q5" s="43" t="str">
        <f aca="false">IF(D5="","Missing",IF(COUNTIF($D$2:$D$207,D5)&gt;1,"Duplicate",IF(AND(LEN(D5)-LEN(SUBSTITUTE(D5,"@",""))=1,ISNUMBER(SEARCH(".",D5,SEARCH("@",D5))),ISERROR(SEARCH(" ",D5))),"Valid","Invalid")))</f>
        <v>Valid</v>
      </c>
      <c r="R5" s="43" t="str">
        <f aca="false">IF(E5="","Missing",IF(COUNTIF($E$2:$E$207,E5)&gt;1,"Duplicate",IF(AND(LEN(E5)=16,LEFT(E5,5)="+63 9"),"Valid","Check")))</f>
        <v>Valid</v>
      </c>
      <c r="S5" s="43" t="str">
        <f aca="false">IF(AND(Q5="Valid",R5="Valid",N5&lt;&gt;""),"Complete","Needs follow-up")</f>
        <v>Complete</v>
      </c>
      <c r="T5" s="44" t="s">
        <v>144</v>
      </c>
    </row>
    <row r="6" customFormat="false" ht="18.75" hidden="false" customHeight="true" outlineLevel="0" collapsed="false">
      <c r="A6" s="38" t="s">
        <v>145</v>
      </c>
      <c r="B6" s="39" t="s">
        <v>146</v>
      </c>
      <c r="C6" s="39" t="s">
        <v>147</v>
      </c>
      <c r="D6" s="39" t="s">
        <v>148</v>
      </c>
      <c r="E6" s="39" t="s">
        <v>149</v>
      </c>
      <c r="F6" s="39" t="s">
        <v>150</v>
      </c>
      <c r="G6" s="39" t="s">
        <v>80</v>
      </c>
      <c r="H6" s="39" t="s">
        <v>129</v>
      </c>
      <c r="I6" s="40" t="n">
        <v>45076</v>
      </c>
      <c r="J6" s="40" t="n">
        <v>45463</v>
      </c>
      <c r="K6" s="33" t="n">
        <v>4</v>
      </c>
      <c r="L6" s="34" t="n">
        <v>3200</v>
      </c>
      <c r="M6" s="41" t="n">
        <f aca="false">IFERROR(L6/K6,0)</f>
        <v>800</v>
      </c>
      <c r="N6" s="39" t="s">
        <v>151</v>
      </c>
      <c r="O6" s="42" t="n">
        <f aca="false">IF(J6="","",AsOfDate-J6)</f>
        <v>832</v>
      </c>
      <c r="P6" s="43" t="str">
        <f aca="false">IF(A6="","",IF(AsOfDate-I6&lt;=90,"New",IF(AND(O6&lt;=180,L6&gt;=15000),"VIP",IF(O6&lt;=180,"Regular",IF(O6&lt;=365,"At risk","Lapsed")))))</f>
        <v>Lapsed</v>
      </c>
      <c r="Q6" s="43" t="str">
        <f aca="false">IF(D6="","Missing",IF(COUNTIF($D$2:$D$207,D6)&gt;1,"Duplicate",IF(AND(LEN(D6)-LEN(SUBSTITUTE(D6,"@",""))=1,ISNUMBER(SEARCH(".",D6,SEARCH("@",D6))),ISERROR(SEARCH(" ",D6))),"Valid","Invalid")))</f>
        <v>Valid</v>
      </c>
      <c r="R6" s="43" t="str">
        <f aca="false">IF(E6="","Missing",IF(COUNTIF($E$2:$E$207,E6)&gt;1,"Duplicate",IF(AND(LEN(E6)=16,LEFT(E6,5)="+63 9"),"Valid","Check")))</f>
        <v>Valid</v>
      </c>
      <c r="S6" s="43" t="str">
        <f aca="false">IF(AND(Q6="Valid",R6="Valid",N6&lt;&gt;""),"Complete","Needs follow-up")</f>
        <v>Complete</v>
      </c>
      <c r="T6" s="44" t="s">
        <v>152</v>
      </c>
    </row>
    <row r="7" customFormat="false" ht="18.75" hidden="false" customHeight="true" outlineLevel="0" collapsed="false">
      <c r="A7" s="38" t="s">
        <v>153</v>
      </c>
      <c r="B7" s="39" t="s">
        <v>154</v>
      </c>
      <c r="C7" s="39" t="s">
        <v>155</v>
      </c>
      <c r="D7" s="39" t="s">
        <v>156</v>
      </c>
      <c r="E7" s="39" t="s">
        <v>157</v>
      </c>
      <c r="F7" s="39" t="s">
        <v>150</v>
      </c>
      <c r="G7" s="39" t="s">
        <v>80</v>
      </c>
      <c r="H7" s="39" t="s">
        <v>121</v>
      </c>
      <c r="I7" s="40" t="n">
        <v>45086</v>
      </c>
      <c r="J7" s="40" t="n">
        <v>45155</v>
      </c>
      <c r="K7" s="33" t="n">
        <v>2</v>
      </c>
      <c r="L7" s="34" t="n">
        <v>2220</v>
      </c>
      <c r="M7" s="41" t="n">
        <f aca="false">IFERROR(L7/K7,0)</f>
        <v>1110</v>
      </c>
      <c r="N7" s="39" t="s">
        <v>151</v>
      </c>
      <c r="O7" s="42" t="n">
        <f aca="false">IF(J7="","",AsOfDate-J7)</f>
        <v>1140</v>
      </c>
      <c r="P7" s="43" t="str">
        <f aca="false">IF(A7="","",IF(AsOfDate-I7&lt;=90,"New",IF(AND(O7&lt;=180,L7&gt;=15000),"VIP",IF(O7&lt;=180,"Regular",IF(O7&lt;=365,"At risk","Lapsed")))))</f>
        <v>Lapsed</v>
      </c>
      <c r="Q7" s="43" t="str">
        <f aca="false">IF(D7="","Missing",IF(COUNTIF($D$2:$D$207,D7)&gt;1,"Duplicate",IF(AND(LEN(D7)-LEN(SUBSTITUTE(D7,"@",""))=1,ISNUMBER(SEARCH(".",D7,SEARCH("@",D7))),ISERROR(SEARCH(" ",D7))),"Valid","Invalid")))</f>
        <v>Valid</v>
      </c>
      <c r="R7" s="43" t="str">
        <f aca="false">IF(E7="","Missing",IF(COUNTIF($E$2:$E$207,E7)&gt;1,"Duplicate",IF(AND(LEN(E7)=16,LEFT(E7,5)="+63 9"),"Valid","Check")))</f>
        <v>Valid</v>
      </c>
      <c r="S7" s="43" t="str">
        <f aca="false">IF(AND(Q7="Valid",R7="Valid",N7&lt;&gt;""),"Complete","Needs follow-up")</f>
        <v>Complete</v>
      </c>
      <c r="T7" s="44" t="s">
        <v>158</v>
      </c>
    </row>
    <row r="8" customFormat="false" ht="18.75" hidden="false" customHeight="true" outlineLevel="0" collapsed="false">
      <c r="A8" s="38" t="s">
        <v>159</v>
      </c>
      <c r="B8" s="39" t="s">
        <v>160</v>
      </c>
      <c r="C8" s="39" t="s">
        <v>161</v>
      </c>
      <c r="D8" s="39" t="s">
        <v>162</v>
      </c>
      <c r="E8" s="39"/>
      <c r="F8" s="39" t="s">
        <v>163</v>
      </c>
      <c r="G8" s="39" t="s">
        <v>79</v>
      </c>
      <c r="H8" s="39" t="s">
        <v>164</v>
      </c>
      <c r="I8" s="40" t="n">
        <v>45089</v>
      </c>
      <c r="J8" s="40" t="n">
        <v>46055</v>
      </c>
      <c r="K8" s="33" t="n">
        <v>2</v>
      </c>
      <c r="L8" s="34" t="n">
        <v>3320</v>
      </c>
      <c r="M8" s="41" t="n">
        <f aca="false">IFERROR(L8/K8,0)</f>
        <v>1660</v>
      </c>
      <c r="N8" s="39" t="s">
        <v>130</v>
      </c>
      <c r="O8" s="42" t="n">
        <f aca="false">IF(J8="","",AsOfDate-J8)</f>
        <v>240</v>
      </c>
      <c r="P8" s="43" t="str">
        <f aca="false">IF(A8="","",IF(AsOfDate-I8&lt;=90,"New",IF(AND(O8&lt;=180,L8&gt;=15000),"VIP",IF(O8&lt;=180,"Regular",IF(O8&lt;=365,"At risk","Lapsed")))))</f>
        <v>At risk</v>
      </c>
      <c r="Q8" s="43" t="str">
        <f aca="false">IF(D8="","Missing",IF(COUNTIF($D$2:$D$207,D8)&gt;1,"Duplicate",IF(AND(LEN(D8)-LEN(SUBSTITUTE(D8,"@",""))=1,ISNUMBER(SEARCH(".",D8,SEARCH("@",D8))),ISERROR(SEARCH(" ",D8))),"Valid","Invalid")))</f>
        <v>Valid</v>
      </c>
      <c r="R8" s="43" t="str">
        <f aca="false">IF(E8="","Missing",IF(COUNTIF($E$2:$E$207,E8)&gt;1,"Duplicate",IF(AND(LEN(E8)=16,LEFT(E8,5)="+63 9"),"Valid","Check")))</f>
        <v>Missing</v>
      </c>
      <c r="S8" s="43" t="str">
        <f aca="false">IF(AND(Q8="Valid",R8="Valid",N8&lt;&gt;""),"Complete","Needs follow-up")</f>
        <v>Needs follow-up</v>
      </c>
      <c r="T8" s="44" t="s">
        <v>165</v>
      </c>
    </row>
    <row r="9" customFormat="false" ht="18.75" hidden="false" customHeight="true" outlineLevel="0" collapsed="false">
      <c r="A9" s="38" t="s">
        <v>166</v>
      </c>
      <c r="B9" s="39" t="s">
        <v>160</v>
      </c>
      <c r="C9" s="39" t="s">
        <v>167</v>
      </c>
      <c r="D9" s="39" t="s">
        <v>168</v>
      </c>
      <c r="E9" s="39" t="s">
        <v>169</v>
      </c>
      <c r="F9" s="39" t="s">
        <v>170</v>
      </c>
      <c r="G9" s="39" t="s">
        <v>82</v>
      </c>
      <c r="H9" s="39" t="s">
        <v>121</v>
      </c>
      <c r="I9" s="40" t="n">
        <v>45090</v>
      </c>
      <c r="J9" s="40" t="n">
        <v>45376</v>
      </c>
      <c r="K9" s="33" t="n">
        <v>2</v>
      </c>
      <c r="L9" s="34" t="n">
        <v>3400</v>
      </c>
      <c r="M9" s="41" t="n">
        <f aca="false">IFERROR(L9/K9,0)</f>
        <v>1700</v>
      </c>
      <c r="N9" s="39" t="s">
        <v>151</v>
      </c>
      <c r="O9" s="42" t="n">
        <f aca="false">IF(J9="","",AsOfDate-J9)</f>
        <v>919</v>
      </c>
      <c r="P9" s="43" t="str">
        <f aca="false">IF(A9="","",IF(AsOfDate-I9&lt;=90,"New",IF(AND(O9&lt;=180,L9&gt;=15000),"VIP",IF(O9&lt;=180,"Regular",IF(O9&lt;=365,"At risk","Lapsed")))))</f>
        <v>Lapsed</v>
      </c>
      <c r="Q9" s="43" t="str">
        <f aca="false">IF(D9="","Missing",IF(COUNTIF($D$2:$D$207,D9)&gt;1,"Duplicate",IF(AND(LEN(D9)-LEN(SUBSTITUTE(D9,"@",""))=1,ISNUMBER(SEARCH(".",D9,SEARCH("@",D9))),ISERROR(SEARCH(" ",D9))),"Valid","Invalid")))</f>
        <v>Valid</v>
      </c>
      <c r="R9" s="43" t="str">
        <f aca="false">IF(E9="","Missing",IF(COUNTIF($E$2:$E$207,E9)&gt;1,"Duplicate",IF(AND(LEN(E9)=16,LEFT(E9,5)="+63 9"),"Valid","Check")))</f>
        <v>Valid</v>
      </c>
      <c r="S9" s="43" t="str">
        <f aca="false">IF(AND(Q9="Valid",R9="Valid",N9&lt;&gt;""),"Complete","Needs follow-up")</f>
        <v>Complete</v>
      </c>
      <c r="T9" s="44" t="s">
        <v>171</v>
      </c>
    </row>
    <row r="10" customFormat="false" ht="18.75" hidden="false" customHeight="true" outlineLevel="0" collapsed="false">
      <c r="A10" s="38" t="s">
        <v>172</v>
      </c>
      <c r="B10" s="39" t="s">
        <v>154</v>
      </c>
      <c r="C10" s="39" t="s">
        <v>173</v>
      </c>
      <c r="D10" s="39" t="s">
        <v>174</v>
      </c>
      <c r="E10" s="39" t="s">
        <v>175</v>
      </c>
      <c r="F10" s="39" t="s">
        <v>120</v>
      </c>
      <c r="G10" s="39" t="s">
        <v>80</v>
      </c>
      <c r="H10" s="39" t="s">
        <v>129</v>
      </c>
      <c r="I10" s="40" t="n">
        <v>45091</v>
      </c>
      <c r="J10" s="40" t="n">
        <v>46246</v>
      </c>
      <c r="K10" s="33" t="n">
        <v>24</v>
      </c>
      <c r="L10" s="34" t="n">
        <v>38110</v>
      </c>
      <c r="M10" s="41" t="n">
        <f aca="false">IFERROR(L10/K10,0)</f>
        <v>1587.91666666667</v>
      </c>
      <c r="N10" s="39" t="s">
        <v>130</v>
      </c>
      <c r="O10" s="42" t="n">
        <f aca="false">IF(J10="","",AsOfDate-J10)</f>
        <v>49</v>
      </c>
      <c r="P10" s="43" t="str">
        <f aca="false">IF(A10="","",IF(AsOfDate-I10&lt;=90,"New",IF(AND(O10&lt;=180,L10&gt;=15000),"VIP",IF(O10&lt;=180,"Regular",IF(O10&lt;=365,"At risk","Lapsed")))))</f>
        <v>VIP</v>
      </c>
      <c r="Q10" s="43" t="str">
        <f aca="false">IF(D10="","Missing",IF(COUNTIF($D$2:$D$207,D10)&gt;1,"Duplicate",IF(AND(LEN(D10)-LEN(SUBSTITUTE(D10,"@",""))=1,ISNUMBER(SEARCH(".",D10,SEARCH("@",D10))),ISERROR(SEARCH(" ",D10))),"Valid","Invalid")))</f>
        <v>Valid</v>
      </c>
      <c r="R10" s="43" t="str">
        <f aca="false">IF(E10="","Missing",IF(COUNTIF($E$2:$E$207,E10)&gt;1,"Duplicate",IF(AND(LEN(E10)=16,LEFT(E10,5)="+63 9"),"Valid","Check")))</f>
        <v>Valid</v>
      </c>
      <c r="S10" s="43" t="str">
        <f aca="false">IF(AND(Q10="Valid",R10="Valid",N10&lt;&gt;""),"Complete","Needs follow-up")</f>
        <v>Complete</v>
      </c>
      <c r="T10" s="44" t="s">
        <v>176</v>
      </c>
    </row>
    <row r="11" customFormat="false" ht="18.75" hidden="false" customHeight="true" outlineLevel="0" collapsed="false">
      <c r="A11" s="38" t="s">
        <v>177</v>
      </c>
      <c r="B11" s="39" t="s">
        <v>178</v>
      </c>
      <c r="C11" s="39" t="s">
        <v>179</v>
      </c>
      <c r="D11" s="39" t="s">
        <v>180</v>
      </c>
      <c r="E11" s="39" t="s">
        <v>181</v>
      </c>
      <c r="F11" s="39" t="s">
        <v>128</v>
      </c>
      <c r="G11" s="39" t="s">
        <v>79</v>
      </c>
      <c r="H11" s="39" t="s">
        <v>182</v>
      </c>
      <c r="I11" s="40" t="n">
        <v>45093</v>
      </c>
      <c r="J11" s="40" t="n">
        <v>45959</v>
      </c>
      <c r="K11" s="33" t="n">
        <v>5</v>
      </c>
      <c r="L11" s="34" t="n">
        <v>8920</v>
      </c>
      <c r="M11" s="41" t="n">
        <f aca="false">IFERROR(L11/K11,0)</f>
        <v>1784</v>
      </c>
      <c r="N11" s="39" t="s">
        <v>151</v>
      </c>
      <c r="O11" s="42" t="n">
        <f aca="false">IF(J11="","",AsOfDate-J11)</f>
        <v>336</v>
      </c>
      <c r="P11" s="43" t="str">
        <f aca="false">IF(A11="","",IF(AsOfDate-I11&lt;=90,"New",IF(AND(O11&lt;=180,L11&gt;=15000),"VIP",IF(O11&lt;=180,"Regular",IF(O11&lt;=365,"At risk","Lapsed")))))</f>
        <v>At risk</v>
      </c>
      <c r="Q11" s="43" t="str">
        <f aca="false">IF(D11="","Missing",IF(COUNTIF($D$2:$D$207,D11)&gt;1,"Duplicate",IF(AND(LEN(D11)-LEN(SUBSTITUTE(D11,"@",""))=1,ISNUMBER(SEARCH(".",D11,SEARCH("@",D11))),ISERROR(SEARCH(" ",D11))),"Valid","Invalid")))</f>
        <v>Valid</v>
      </c>
      <c r="R11" s="43" t="str">
        <f aca="false">IF(E11="","Missing",IF(COUNTIF($E$2:$E$207,E11)&gt;1,"Duplicate",IF(AND(LEN(E11)=16,LEFT(E11,5)="+63 9"),"Valid","Check")))</f>
        <v>Valid</v>
      </c>
      <c r="S11" s="43" t="str">
        <f aca="false">IF(AND(Q11="Valid",R11="Valid",N11&lt;&gt;""),"Complete","Needs follow-up")</f>
        <v>Complete</v>
      </c>
      <c r="T11" s="44" t="s">
        <v>183</v>
      </c>
    </row>
    <row r="12" customFormat="false" ht="18.75" hidden="false" customHeight="true" outlineLevel="0" collapsed="false">
      <c r="A12" s="38" t="s">
        <v>184</v>
      </c>
      <c r="B12" s="39" t="s">
        <v>185</v>
      </c>
      <c r="C12" s="39" t="s">
        <v>186</v>
      </c>
      <c r="D12" s="39" t="s">
        <v>187</v>
      </c>
      <c r="E12" s="39" t="s">
        <v>188</v>
      </c>
      <c r="F12" s="39" t="s">
        <v>120</v>
      </c>
      <c r="G12" s="39" t="s">
        <v>80</v>
      </c>
      <c r="H12" s="39" t="s">
        <v>189</v>
      </c>
      <c r="I12" s="40" t="n">
        <v>45096</v>
      </c>
      <c r="J12" s="40" t="n">
        <v>46262</v>
      </c>
      <c r="K12" s="33" t="n">
        <v>29</v>
      </c>
      <c r="L12" s="34" t="n">
        <v>35060</v>
      </c>
      <c r="M12" s="41" t="n">
        <f aca="false">IFERROR(L12/K12,0)</f>
        <v>1208.96551724138</v>
      </c>
      <c r="N12" s="39" t="s">
        <v>151</v>
      </c>
      <c r="O12" s="42" t="n">
        <f aca="false">IF(J12="","",AsOfDate-J12)</f>
        <v>33</v>
      </c>
      <c r="P12" s="43" t="str">
        <f aca="false">IF(A12="","",IF(AsOfDate-I12&lt;=90,"New",IF(AND(O12&lt;=180,L12&gt;=15000),"VIP",IF(O12&lt;=180,"Regular",IF(O12&lt;=365,"At risk","Lapsed")))))</f>
        <v>VIP</v>
      </c>
      <c r="Q12" s="43" t="str">
        <f aca="false">IF(D12="","Missing",IF(COUNTIF($D$2:$D$207,D12)&gt;1,"Duplicate",IF(AND(LEN(D12)-LEN(SUBSTITUTE(D12,"@",""))=1,ISNUMBER(SEARCH(".",D12,SEARCH("@",D12))),ISERROR(SEARCH(" ",D12))),"Valid","Invalid")))</f>
        <v>Valid</v>
      </c>
      <c r="R12" s="43" t="str">
        <f aca="false">IF(E12="","Missing",IF(COUNTIF($E$2:$E$207,E12)&gt;1,"Duplicate",IF(AND(LEN(E12)=16,LEFT(E12,5)="+63 9"),"Valid","Check")))</f>
        <v>Valid</v>
      </c>
      <c r="S12" s="43" t="str">
        <f aca="false">IF(AND(Q12="Valid",R12="Valid",N12&lt;&gt;""),"Complete","Needs follow-up")</f>
        <v>Complete</v>
      </c>
      <c r="T12" s="44" t="s">
        <v>190</v>
      </c>
    </row>
    <row r="13" customFormat="false" ht="18.75" hidden="false" customHeight="true" outlineLevel="0" collapsed="false">
      <c r="A13" s="38" t="s">
        <v>191</v>
      </c>
      <c r="B13" s="39" t="s">
        <v>192</v>
      </c>
      <c r="C13" s="39" t="s">
        <v>193</v>
      </c>
      <c r="D13" s="39" t="s">
        <v>194</v>
      </c>
      <c r="E13" s="39" t="s">
        <v>195</v>
      </c>
      <c r="F13" s="39" t="s">
        <v>128</v>
      </c>
      <c r="G13" s="39" t="s">
        <v>79</v>
      </c>
      <c r="H13" s="39" t="s">
        <v>121</v>
      </c>
      <c r="I13" s="40" t="n">
        <v>45100</v>
      </c>
      <c r="J13" s="40" t="n">
        <v>46246</v>
      </c>
      <c r="K13" s="33" t="n">
        <v>33</v>
      </c>
      <c r="L13" s="34" t="n">
        <v>51710</v>
      </c>
      <c r="M13" s="41" t="n">
        <f aca="false">IFERROR(L13/K13,0)</f>
        <v>1566.9696969697</v>
      </c>
      <c r="N13" s="39" t="s">
        <v>151</v>
      </c>
      <c r="O13" s="42" t="n">
        <f aca="false">IF(J13="","",AsOfDate-J13)</f>
        <v>49</v>
      </c>
      <c r="P13" s="43" t="str">
        <f aca="false">IF(A13="","",IF(AsOfDate-I13&lt;=90,"New",IF(AND(O13&lt;=180,L13&gt;=15000),"VIP",IF(O13&lt;=180,"Regular",IF(O13&lt;=365,"At risk","Lapsed")))))</f>
        <v>VIP</v>
      </c>
      <c r="Q13" s="43" t="str">
        <f aca="false">IF(D13="","Missing",IF(COUNTIF($D$2:$D$207,D13)&gt;1,"Duplicate",IF(AND(LEN(D13)-LEN(SUBSTITUTE(D13,"@",""))=1,ISNUMBER(SEARCH(".",D13,SEARCH("@",D13))),ISERROR(SEARCH(" ",D13))),"Valid","Invalid")))</f>
        <v>Valid</v>
      </c>
      <c r="R13" s="43" t="str">
        <f aca="false">IF(E13="","Missing",IF(COUNTIF($E$2:$E$207,E13)&gt;1,"Duplicate",IF(AND(LEN(E13)=16,LEFT(E13,5)="+63 9"),"Valid","Check")))</f>
        <v>Valid</v>
      </c>
      <c r="S13" s="43" t="str">
        <f aca="false">IF(AND(Q13="Valid",R13="Valid",N13&lt;&gt;""),"Complete","Needs follow-up")</f>
        <v>Complete</v>
      </c>
      <c r="T13" s="44" t="s">
        <v>196</v>
      </c>
    </row>
    <row r="14" customFormat="false" ht="18.75" hidden="false" customHeight="true" outlineLevel="0" collapsed="false">
      <c r="A14" s="38" t="s">
        <v>197</v>
      </c>
      <c r="B14" s="39" t="s">
        <v>198</v>
      </c>
      <c r="C14" s="39" t="s">
        <v>199</v>
      </c>
      <c r="D14" s="39" t="s">
        <v>200</v>
      </c>
      <c r="E14" s="39" t="s">
        <v>201</v>
      </c>
      <c r="F14" s="39" t="s">
        <v>128</v>
      </c>
      <c r="G14" s="39" t="s">
        <v>79</v>
      </c>
      <c r="H14" s="39" t="s">
        <v>129</v>
      </c>
      <c r="I14" s="40" t="n">
        <v>45104</v>
      </c>
      <c r="J14" s="40" t="n">
        <v>45160</v>
      </c>
      <c r="K14" s="33" t="n">
        <v>4</v>
      </c>
      <c r="L14" s="34" t="n">
        <v>6080</v>
      </c>
      <c r="M14" s="41" t="n">
        <f aca="false">IFERROR(L14/K14,0)</f>
        <v>1520</v>
      </c>
      <c r="N14" s="39" t="s">
        <v>151</v>
      </c>
      <c r="O14" s="42" t="n">
        <f aca="false">IF(J14="","",AsOfDate-J14)</f>
        <v>1135</v>
      </c>
      <c r="P14" s="43" t="str">
        <f aca="false">IF(A14="","",IF(AsOfDate-I14&lt;=90,"New",IF(AND(O14&lt;=180,L14&gt;=15000),"VIP",IF(O14&lt;=180,"Regular",IF(O14&lt;=365,"At risk","Lapsed")))))</f>
        <v>Lapsed</v>
      </c>
      <c r="Q14" s="43" t="str">
        <f aca="false">IF(D14="","Missing",IF(COUNTIF($D$2:$D$207,D14)&gt;1,"Duplicate",IF(AND(LEN(D14)-LEN(SUBSTITUTE(D14,"@",""))=1,ISNUMBER(SEARCH(".",D14,SEARCH("@",D14))),ISERROR(SEARCH(" ",D14))),"Valid","Invalid")))</f>
        <v>Valid</v>
      </c>
      <c r="R14" s="43" t="str">
        <f aca="false">IF(E14="","Missing",IF(COUNTIF($E$2:$E$207,E14)&gt;1,"Duplicate",IF(AND(LEN(E14)=16,LEFT(E14,5)="+63 9"),"Valid","Check")))</f>
        <v>Valid</v>
      </c>
      <c r="S14" s="43" t="str">
        <f aca="false">IF(AND(Q14="Valid",R14="Valid",N14&lt;&gt;""),"Complete","Needs follow-up")</f>
        <v>Complete</v>
      </c>
      <c r="T14" s="44" t="s">
        <v>202</v>
      </c>
    </row>
    <row r="15" customFormat="false" ht="18.75" hidden="false" customHeight="true" outlineLevel="0" collapsed="false">
      <c r="A15" s="38" t="s">
        <v>203</v>
      </c>
      <c r="B15" s="39" t="s">
        <v>160</v>
      </c>
      <c r="C15" s="39" t="s">
        <v>204</v>
      </c>
      <c r="D15" s="39" t="s">
        <v>205</v>
      </c>
      <c r="E15" s="39" t="s">
        <v>206</v>
      </c>
      <c r="F15" s="39" t="s">
        <v>128</v>
      </c>
      <c r="G15" s="39" t="s">
        <v>79</v>
      </c>
      <c r="H15" s="39" t="s">
        <v>121</v>
      </c>
      <c r="I15" s="40" t="n">
        <v>45115</v>
      </c>
      <c r="J15" s="40" t="n">
        <v>45301</v>
      </c>
      <c r="K15" s="33" t="n">
        <v>4</v>
      </c>
      <c r="L15" s="34" t="n">
        <v>7510</v>
      </c>
      <c r="M15" s="41" t="n">
        <f aca="false">IFERROR(L15/K15,0)</f>
        <v>1877.5</v>
      </c>
      <c r="N15" s="39" t="s">
        <v>130</v>
      </c>
      <c r="O15" s="42" t="n">
        <f aca="false">IF(J15="","",AsOfDate-J15)</f>
        <v>994</v>
      </c>
      <c r="P15" s="43" t="str">
        <f aca="false">IF(A15="","",IF(AsOfDate-I15&lt;=90,"New",IF(AND(O15&lt;=180,L15&gt;=15000),"VIP",IF(O15&lt;=180,"Regular",IF(O15&lt;=365,"At risk","Lapsed")))))</f>
        <v>Lapsed</v>
      </c>
      <c r="Q15" s="43" t="str">
        <f aca="false">IF(D15="","Missing",IF(COUNTIF($D$2:$D$207,D15)&gt;1,"Duplicate",IF(AND(LEN(D15)-LEN(SUBSTITUTE(D15,"@",""))=1,ISNUMBER(SEARCH(".",D15,SEARCH("@",D15))),ISERROR(SEARCH(" ",D15))),"Valid","Invalid")))</f>
        <v>Valid</v>
      </c>
      <c r="R15" s="43" t="str">
        <f aca="false">IF(E15="","Missing",IF(COUNTIF($E$2:$E$207,E15)&gt;1,"Duplicate",IF(AND(LEN(E15)=16,LEFT(E15,5)="+63 9"),"Valid","Check")))</f>
        <v>Valid</v>
      </c>
      <c r="S15" s="43" t="str">
        <f aca="false">IF(AND(Q15="Valid",R15="Valid",N15&lt;&gt;""),"Complete","Needs follow-up")</f>
        <v>Complete</v>
      </c>
      <c r="T15" s="44" t="s">
        <v>207</v>
      </c>
    </row>
    <row r="16" customFormat="false" ht="18.75" hidden="false" customHeight="true" outlineLevel="0" collapsed="false">
      <c r="A16" s="38" t="s">
        <v>208</v>
      </c>
      <c r="B16" s="39" t="s">
        <v>209</v>
      </c>
      <c r="C16" s="39" t="s">
        <v>179</v>
      </c>
      <c r="D16" s="39" t="s">
        <v>210</v>
      </c>
      <c r="E16" s="39" t="s">
        <v>211</v>
      </c>
      <c r="F16" s="39" t="s">
        <v>128</v>
      </c>
      <c r="G16" s="39" t="s">
        <v>79</v>
      </c>
      <c r="H16" s="39" t="s">
        <v>129</v>
      </c>
      <c r="I16" s="40" t="n">
        <v>45122</v>
      </c>
      <c r="J16" s="40" t="n">
        <v>45122</v>
      </c>
      <c r="K16" s="33" t="n">
        <v>1</v>
      </c>
      <c r="L16" s="34" t="n">
        <v>920</v>
      </c>
      <c r="M16" s="41" t="n">
        <f aca="false">IFERROR(L16/K16,0)</f>
        <v>920</v>
      </c>
      <c r="N16" s="39" t="s">
        <v>151</v>
      </c>
      <c r="O16" s="42" t="n">
        <f aca="false">IF(J16="","",AsOfDate-J16)</f>
        <v>1173</v>
      </c>
      <c r="P16" s="43" t="str">
        <f aca="false">IF(A16="","",IF(AsOfDate-I16&lt;=90,"New",IF(AND(O16&lt;=180,L16&gt;=15000),"VIP",IF(O16&lt;=180,"Regular",IF(O16&lt;=365,"At risk","Lapsed")))))</f>
        <v>Lapsed</v>
      </c>
      <c r="Q16" s="43" t="str">
        <f aca="false">IF(D16="","Missing",IF(COUNTIF($D$2:$D$207,D16)&gt;1,"Duplicate",IF(AND(LEN(D16)-LEN(SUBSTITUTE(D16,"@",""))=1,ISNUMBER(SEARCH(".",D16,SEARCH("@",D16))),ISERROR(SEARCH(" ",D16))),"Valid","Invalid")))</f>
        <v>Valid</v>
      </c>
      <c r="R16" s="43" t="str">
        <f aca="false">IF(E16="","Missing",IF(COUNTIF($E$2:$E$207,E16)&gt;1,"Duplicate",IF(AND(LEN(E16)=16,LEFT(E16,5)="+63 9"),"Valid","Check")))</f>
        <v>Valid</v>
      </c>
      <c r="S16" s="43" t="str">
        <f aca="false">IF(AND(Q16="Valid",R16="Valid",N16&lt;&gt;""),"Complete","Needs follow-up")</f>
        <v>Complete</v>
      </c>
      <c r="T16" s="44" t="s">
        <v>212</v>
      </c>
    </row>
    <row r="17" customFormat="false" ht="18.75" hidden="false" customHeight="true" outlineLevel="0" collapsed="false">
      <c r="A17" s="38" t="s">
        <v>213</v>
      </c>
      <c r="B17" s="39" t="s">
        <v>214</v>
      </c>
      <c r="C17" s="39" t="s">
        <v>155</v>
      </c>
      <c r="D17" s="39" t="s">
        <v>215</v>
      </c>
      <c r="E17" s="39" t="s">
        <v>216</v>
      </c>
      <c r="F17" s="39" t="s">
        <v>217</v>
      </c>
      <c r="G17" s="39" t="s">
        <v>79</v>
      </c>
      <c r="H17" s="39" t="s">
        <v>121</v>
      </c>
      <c r="I17" s="40" t="n">
        <v>45124</v>
      </c>
      <c r="J17" s="40" t="n">
        <v>45124</v>
      </c>
      <c r="K17" s="33" t="n">
        <v>1</v>
      </c>
      <c r="L17" s="34" t="n">
        <v>1860</v>
      </c>
      <c r="M17" s="41" t="n">
        <f aca="false">IFERROR(L17/K17,0)</f>
        <v>1860</v>
      </c>
      <c r="N17" s="39" t="s">
        <v>130</v>
      </c>
      <c r="O17" s="42" t="n">
        <f aca="false">IF(J17="","",AsOfDate-J17)</f>
        <v>1171</v>
      </c>
      <c r="P17" s="43" t="str">
        <f aca="false">IF(A17="","",IF(AsOfDate-I17&lt;=90,"New",IF(AND(O17&lt;=180,L17&gt;=15000),"VIP",IF(O17&lt;=180,"Regular",IF(O17&lt;=365,"At risk","Lapsed")))))</f>
        <v>Lapsed</v>
      </c>
      <c r="Q17" s="43" t="str">
        <f aca="false">IF(D17="","Missing",IF(COUNTIF($D$2:$D$207,D17)&gt;1,"Duplicate",IF(AND(LEN(D17)-LEN(SUBSTITUTE(D17,"@",""))=1,ISNUMBER(SEARCH(".",D17,SEARCH("@",D17))),ISERROR(SEARCH(" ",D17))),"Valid","Invalid")))</f>
        <v>Valid</v>
      </c>
      <c r="R17" s="43" t="str">
        <f aca="false">IF(E17="","Missing",IF(COUNTIF($E$2:$E$207,E17)&gt;1,"Duplicate",IF(AND(LEN(E17)=16,LEFT(E17,5)="+63 9"),"Valid","Check")))</f>
        <v>Valid</v>
      </c>
      <c r="S17" s="43" t="str">
        <f aca="false">IF(AND(Q17="Valid",R17="Valid",N17&lt;&gt;""),"Complete","Needs follow-up")</f>
        <v>Complete</v>
      </c>
      <c r="T17" s="44" t="s">
        <v>218</v>
      </c>
    </row>
    <row r="18" customFormat="false" ht="18.75" hidden="false" customHeight="true" outlineLevel="0" collapsed="false">
      <c r="A18" s="38" t="s">
        <v>219</v>
      </c>
      <c r="B18" s="39" t="s">
        <v>220</v>
      </c>
      <c r="C18" s="39" t="s">
        <v>117</v>
      </c>
      <c r="D18" s="39" t="s">
        <v>221</v>
      </c>
      <c r="E18" s="39" t="s">
        <v>222</v>
      </c>
      <c r="F18" s="39" t="s">
        <v>128</v>
      </c>
      <c r="G18" s="39" t="s">
        <v>79</v>
      </c>
      <c r="H18" s="39" t="s">
        <v>129</v>
      </c>
      <c r="I18" s="40" t="n">
        <v>45134</v>
      </c>
      <c r="J18" s="40" t="n">
        <v>45733</v>
      </c>
      <c r="K18" s="33" t="n">
        <v>2</v>
      </c>
      <c r="L18" s="34" t="n">
        <v>1940</v>
      </c>
      <c r="M18" s="41" t="n">
        <f aca="false">IFERROR(L18/K18,0)</f>
        <v>970</v>
      </c>
      <c r="N18" s="39" t="s">
        <v>151</v>
      </c>
      <c r="O18" s="42" t="n">
        <f aca="false">IF(J18="","",AsOfDate-J18)</f>
        <v>562</v>
      </c>
      <c r="P18" s="43" t="str">
        <f aca="false">IF(A18="","",IF(AsOfDate-I18&lt;=90,"New",IF(AND(O18&lt;=180,L18&gt;=15000),"VIP",IF(O18&lt;=180,"Regular",IF(O18&lt;=365,"At risk","Lapsed")))))</f>
        <v>Lapsed</v>
      </c>
      <c r="Q18" s="43" t="str">
        <f aca="false">IF(D18="","Missing",IF(COUNTIF($D$2:$D$207,D18)&gt;1,"Duplicate",IF(AND(LEN(D18)-LEN(SUBSTITUTE(D18,"@",""))=1,ISNUMBER(SEARCH(".",D18,SEARCH("@",D18))),ISERROR(SEARCH(" ",D18))),"Valid","Invalid")))</f>
        <v>Valid</v>
      </c>
      <c r="R18" s="43" t="str">
        <f aca="false">IF(E18="","Missing",IF(COUNTIF($E$2:$E$207,E18)&gt;1,"Duplicate",IF(AND(LEN(E18)=16,LEFT(E18,5)="+63 9"),"Valid","Check")))</f>
        <v>Valid</v>
      </c>
      <c r="S18" s="43" t="str">
        <f aca="false">IF(AND(Q18="Valid",R18="Valid",N18&lt;&gt;""),"Complete","Needs follow-up")</f>
        <v>Complete</v>
      </c>
      <c r="T18" s="44" t="s">
        <v>223</v>
      </c>
    </row>
    <row r="19" customFormat="false" ht="18.75" hidden="false" customHeight="true" outlineLevel="0" collapsed="false">
      <c r="A19" s="38" t="s">
        <v>224</v>
      </c>
      <c r="B19" s="39" t="s">
        <v>225</v>
      </c>
      <c r="C19" s="39" t="s">
        <v>147</v>
      </c>
      <c r="D19" s="39" t="s">
        <v>226</v>
      </c>
      <c r="E19" s="39" t="s">
        <v>227</v>
      </c>
      <c r="F19" s="39" t="s">
        <v>163</v>
      </c>
      <c r="G19" s="39" t="s">
        <v>79</v>
      </c>
      <c r="H19" s="39" t="s">
        <v>164</v>
      </c>
      <c r="I19" s="40" t="n">
        <v>45148</v>
      </c>
      <c r="J19" s="40" t="n">
        <v>45598</v>
      </c>
      <c r="K19" s="33" t="n">
        <v>5</v>
      </c>
      <c r="L19" s="34" t="n">
        <v>8810</v>
      </c>
      <c r="M19" s="41" t="n">
        <f aca="false">IFERROR(L19/K19,0)</f>
        <v>1762</v>
      </c>
      <c r="N19" s="39" t="s">
        <v>130</v>
      </c>
      <c r="O19" s="42" t="n">
        <f aca="false">IF(J19="","",AsOfDate-J19)</f>
        <v>697</v>
      </c>
      <c r="P19" s="43" t="str">
        <f aca="false">IF(A19="","",IF(AsOfDate-I19&lt;=90,"New",IF(AND(O19&lt;=180,L19&gt;=15000),"VIP",IF(O19&lt;=180,"Regular",IF(O19&lt;=365,"At risk","Lapsed")))))</f>
        <v>Lapsed</v>
      </c>
      <c r="Q19" s="43" t="str">
        <f aca="false">IF(D19="","Missing",IF(COUNTIF($D$2:$D$207,D19)&gt;1,"Duplicate",IF(AND(LEN(D19)-LEN(SUBSTITUTE(D19,"@",""))=1,ISNUMBER(SEARCH(".",D19,SEARCH("@",D19))),ISERROR(SEARCH(" ",D19))),"Valid","Invalid")))</f>
        <v>Valid</v>
      </c>
      <c r="R19" s="43" t="str">
        <f aca="false">IF(E19="","Missing",IF(COUNTIF($E$2:$E$207,E19)&gt;1,"Duplicate",IF(AND(LEN(E19)=16,LEFT(E19,5)="+63 9"),"Valid","Check")))</f>
        <v>Valid</v>
      </c>
      <c r="S19" s="43" t="str">
        <f aca="false">IF(AND(Q19="Valid",R19="Valid",N19&lt;&gt;""),"Complete","Needs follow-up")</f>
        <v>Complete</v>
      </c>
      <c r="T19" s="44" t="s">
        <v>228</v>
      </c>
    </row>
    <row r="20" customFormat="false" ht="18.75" hidden="false" customHeight="true" outlineLevel="0" collapsed="false">
      <c r="A20" s="38" t="s">
        <v>229</v>
      </c>
      <c r="B20" s="39" t="s">
        <v>230</v>
      </c>
      <c r="C20" s="39" t="s">
        <v>231</v>
      </c>
      <c r="D20" s="39"/>
      <c r="E20" s="39" t="s">
        <v>232</v>
      </c>
      <c r="F20" s="39" t="s">
        <v>128</v>
      </c>
      <c r="G20" s="39" t="s">
        <v>79</v>
      </c>
      <c r="H20" s="39" t="s">
        <v>164</v>
      </c>
      <c r="I20" s="40" t="n">
        <v>45149</v>
      </c>
      <c r="J20" s="40" t="n">
        <v>46265</v>
      </c>
      <c r="K20" s="33" t="n">
        <v>22</v>
      </c>
      <c r="L20" s="34" t="n">
        <v>23280</v>
      </c>
      <c r="M20" s="41" t="n">
        <f aca="false">IFERROR(L20/K20,0)</f>
        <v>1058.18181818182</v>
      </c>
      <c r="N20" s="39" t="s">
        <v>151</v>
      </c>
      <c r="O20" s="42" t="n">
        <f aca="false">IF(J20="","",AsOfDate-J20)</f>
        <v>30</v>
      </c>
      <c r="P20" s="43" t="str">
        <f aca="false">IF(A20="","",IF(AsOfDate-I20&lt;=90,"New",IF(AND(O20&lt;=180,L20&gt;=15000),"VIP",IF(O20&lt;=180,"Regular",IF(O20&lt;=365,"At risk","Lapsed")))))</f>
        <v>VIP</v>
      </c>
      <c r="Q20" s="43" t="str">
        <f aca="false">IF(D20="","Missing",IF(COUNTIF($D$2:$D$207,D20)&gt;1,"Duplicate",IF(AND(LEN(D20)-LEN(SUBSTITUTE(D20,"@",""))=1,ISNUMBER(SEARCH(".",D20,SEARCH("@",D20))),ISERROR(SEARCH(" ",D20))),"Valid","Invalid")))</f>
        <v>Missing</v>
      </c>
      <c r="R20" s="43" t="str">
        <f aca="false">IF(E20="","Missing",IF(COUNTIF($E$2:$E$207,E20)&gt;1,"Duplicate",IF(AND(LEN(E20)=16,LEFT(E20,5)="+63 9"),"Valid","Check")))</f>
        <v>Valid</v>
      </c>
      <c r="S20" s="43" t="str">
        <f aca="false">IF(AND(Q20="Valid",R20="Valid",N20&lt;&gt;""),"Complete","Needs follow-up")</f>
        <v>Needs follow-up</v>
      </c>
      <c r="T20" s="44" t="s">
        <v>233</v>
      </c>
    </row>
    <row r="21" customFormat="false" ht="18.75" hidden="false" customHeight="true" outlineLevel="0" collapsed="false">
      <c r="A21" s="38" t="s">
        <v>234</v>
      </c>
      <c r="B21" s="39" t="s">
        <v>235</v>
      </c>
      <c r="C21" s="39" t="s">
        <v>236</v>
      </c>
      <c r="D21" s="39" t="s">
        <v>237</v>
      </c>
      <c r="E21" s="39" t="s">
        <v>238</v>
      </c>
      <c r="F21" s="39" t="s">
        <v>239</v>
      </c>
      <c r="G21" s="39" t="s">
        <v>79</v>
      </c>
      <c r="H21" s="39" t="s">
        <v>164</v>
      </c>
      <c r="I21" s="40" t="n">
        <v>45153</v>
      </c>
      <c r="J21" s="40" t="n">
        <v>46092</v>
      </c>
      <c r="K21" s="33" t="n">
        <v>4</v>
      </c>
      <c r="L21" s="34" t="n">
        <v>4300</v>
      </c>
      <c r="M21" s="41" t="n">
        <f aca="false">IFERROR(L21/K21,0)</f>
        <v>1075</v>
      </c>
      <c r="N21" s="39" t="s">
        <v>130</v>
      </c>
      <c r="O21" s="42" t="n">
        <f aca="false">IF(J21="","",AsOfDate-J21)</f>
        <v>203</v>
      </c>
      <c r="P21" s="43" t="str">
        <f aca="false">IF(A21="","",IF(AsOfDate-I21&lt;=90,"New",IF(AND(O21&lt;=180,L21&gt;=15000),"VIP",IF(O21&lt;=180,"Regular",IF(O21&lt;=365,"At risk","Lapsed")))))</f>
        <v>At risk</v>
      </c>
      <c r="Q21" s="43" t="str">
        <f aca="false">IF(D21="","Missing",IF(COUNTIF($D$2:$D$207,D21)&gt;1,"Duplicate",IF(AND(LEN(D21)-LEN(SUBSTITUTE(D21,"@",""))=1,ISNUMBER(SEARCH(".",D21,SEARCH("@",D21))),ISERROR(SEARCH(" ",D21))),"Valid","Invalid")))</f>
        <v>Valid</v>
      </c>
      <c r="R21" s="43" t="str">
        <f aca="false">IF(E21="","Missing",IF(COUNTIF($E$2:$E$207,E21)&gt;1,"Duplicate",IF(AND(LEN(E21)=16,LEFT(E21,5)="+63 9"),"Valid","Check")))</f>
        <v>Valid</v>
      </c>
      <c r="S21" s="43" t="str">
        <f aca="false">IF(AND(Q21="Valid",R21="Valid",N21&lt;&gt;""),"Complete","Needs follow-up")</f>
        <v>Complete</v>
      </c>
      <c r="T21" s="44" t="s">
        <v>240</v>
      </c>
    </row>
    <row r="22" customFormat="false" ht="18.75" hidden="false" customHeight="true" outlineLevel="0" collapsed="false">
      <c r="A22" s="38" t="s">
        <v>241</v>
      </c>
      <c r="B22" s="39" t="s">
        <v>242</v>
      </c>
      <c r="C22" s="39" t="s">
        <v>243</v>
      </c>
      <c r="D22" s="39" t="s">
        <v>244</v>
      </c>
      <c r="E22" s="39" t="s">
        <v>245</v>
      </c>
      <c r="F22" s="39" t="s">
        <v>128</v>
      </c>
      <c r="G22" s="39" t="s">
        <v>79</v>
      </c>
      <c r="H22" s="39" t="s">
        <v>182</v>
      </c>
      <c r="I22" s="40" t="n">
        <v>45154</v>
      </c>
      <c r="J22" s="40" t="n">
        <v>46020</v>
      </c>
      <c r="K22" s="33" t="n">
        <v>7</v>
      </c>
      <c r="L22" s="34" t="n">
        <v>6620</v>
      </c>
      <c r="M22" s="41" t="n">
        <f aca="false">IFERROR(L22/K22,0)</f>
        <v>945.714285714286</v>
      </c>
      <c r="N22" s="39" t="s">
        <v>130</v>
      </c>
      <c r="O22" s="42" t="n">
        <f aca="false">IF(J22="","",AsOfDate-J22)</f>
        <v>275</v>
      </c>
      <c r="P22" s="43" t="str">
        <f aca="false">IF(A22="","",IF(AsOfDate-I22&lt;=90,"New",IF(AND(O22&lt;=180,L22&gt;=15000),"VIP",IF(O22&lt;=180,"Regular",IF(O22&lt;=365,"At risk","Lapsed")))))</f>
        <v>At risk</v>
      </c>
      <c r="Q22" s="43" t="str">
        <f aca="false">IF(D22="","Missing",IF(COUNTIF($D$2:$D$207,D22)&gt;1,"Duplicate",IF(AND(LEN(D22)-LEN(SUBSTITUTE(D22,"@",""))=1,ISNUMBER(SEARCH(".",D22,SEARCH("@",D22))),ISERROR(SEARCH(" ",D22))),"Valid","Invalid")))</f>
        <v>Valid</v>
      </c>
      <c r="R22" s="43" t="str">
        <f aca="false">IF(E22="","Missing",IF(COUNTIF($E$2:$E$207,E22)&gt;1,"Duplicate",IF(AND(LEN(E22)=16,LEFT(E22,5)="+63 9"),"Valid","Check")))</f>
        <v>Valid</v>
      </c>
      <c r="S22" s="43" t="str">
        <f aca="false">IF(AND(Q22="Valid",R22="Valid",N22&lt;&gt;""),"Complete","Needs follow-up")</f>
        <v>Complete</v>
      </c>
      <c r="T22" s="44" t="s">
        <v>246</v>
      </c>
    </row>
    <row r="23" customFormat="false" ht="18.75" hidden="false" customHeight="true" outlineLevel="0" collapsed="false">
      <c r="A23" s="38" t="s">
        <v>247</v>
      </c>
      <c r="B23" s="39" t="s">
        <v>248</v>
      </c>
      <c r="C23" s="39" t="s">
        <v>161</v>
      </c>
      <c r="D23" s="39" t="s">
        <v>249</v>
      </c>
      <c r="E23" s="39" t="s">
        <v>250</v>
      </c>
      <c r="F23" s="39" t="s">
        <v>170</v>
      </c>
      <c r="G23" s="39" t="s">
        <v>82</v>
      </c>
      <c r="H23" s="39" t="s">
        <v>164</v>
      </c>
      <c r="I23" s="40" t="n">
        <v>45167</v>
      </c>
      <c r="J23" s="40" t="n">
        <v>46091</v>
      </c>
      <c r="K23" s="33" t="n">
        <v>7</v>
      </c>
      <c r="L23" s="34" t="n">
        <v>4580</v>
      </c>
      <c r="M23" s="41" t="n">
        <f aca="false">IFERROR(L23/K23,0)</f>
        <v>654.285714285714</v>
      </c>
      <c r="N23" s="39" t="s">
        <v>151</v>
      </c>
      <c r="O23" s="42" t="n">
        <f aca="false">IF(J23="","",AsOfDate-J23)</f>
        <v>204</v>
      </c>
      <c r="P23" s="43" t="str">
        <f aca="false">IF(A23="","",IF(AsOfDate-I23&lt;=90,"New",IF(AND(O23&lt;=180,L23&gt;=15000),"VIP",IF(O23&lt;=180,"Regular",IF(O23&lt;=365,"At risk","Lapsed")))))</f>
        <v>At risk</v>
      </c>
      <c r="Q23" s="43" t="str">
        <f aca="false">IF(D23="","Missing",IF(COUNTIF($D$2:$D$207,D23)&gt;1,"Duplicate",IF(AND(LEN(D23)-LEN(SUBSTITUTE(D23,"@",""))=1,ISNUMBER(SEARCH(".",D23,SEARCH("@",D23))),ISERROR(SEARCH(" ",D23))),"Valid","Invalid")))</f>
        <v>Valid</v>
      </c>
      <c r="R23" s="43" t="str">
        <f aca="false">IF(E23="","Missing",IF(COUNTIF($E$2:$E$207,E23)&gt;1,"Duplicate",IF(AND(LEN(E23)=16,LEFT(E23,5)="+63 9"),"Valid","Check")))</f>
        <v>Valid</v>
      </c>
      <c r="S23" s="43" t="str">
        <f aca="false">IF(AND(Q23="Valid",R23="Valid",N23&lt;&gt;""),"Complete","Needs follow-up")</f>
        <v>Complete</v>
      </c>
      <c r="T23" s="44" t="s">
        <v>251</v>
      </c>
    </row>
    <row r="24" customFormat="false" ht="18.75" hidden="false" customHeight="true" outlineLevel="0" collapsed="false">
      <c r="A24" s="38" t="s">
        <v>252</v>
      </c>
      <c r="B24" s="39" t="s">
        <v>253</v>
      </c>
      <c r="C24" s="39" t="s">
        <v>254</v>
      </c>
      <c r="D24" s="39" t="s">
        <v>255</v>
      </c>
      <c r="E24" s="39" t="s">
        <v>256</v>
      </c>
      <c r="F24" s="39" t="s">
        <v>257</v>
      </c>
      <c r="G24" s="39" t="s">
        <v>81</v>
      </c>
      <c r="H24" s="39" t="s">
        <v>121</v>
      </c>
      <c r="I24" s="40" t="n">
        <v>45171</v>
      </c>
      <c r="J24" s="40" t="n">
        <v>46064</v>
      </c>
      <c r="K24" s="33" t="n">
        <v>5</v>
      </c>
      <c r="L24" s="34" t="n">
        <v>7960</v>
      </c>
      <c r="M24" s="41" t="n">
        <f aca="false">IFERROR(L24/K24,0)</f>
        <v>1592</v>
      </c>
      <c r="N24" s="39"/>
      <c r="O24" s="42" t="n">
        <f aca="false">IF(J24="","",AsOfDate-J24)</f>
        <v>231</v>
      </c>
      <c r="P24" s="43" t="str">
        <f aca="false">IF(A24="","",IF(AsOfDate-I24&lt;=90,"New",IF(AND(O24&lt;=180,L24&gt;=15000),"VIP",IF(O24&lt;=180,"Regular",IF(O24&lt;=365,"At risk","Lapsed")))))</f>
        <v>At risk</v>
      </c>
      <c r="Q24" s="43" t="str">
        <f aca="false">IF(D24="","Missing",IF(COUNTIF($D$2:$D$207,D24)&gt;1,"Duplicate",IF(AND(LEN(D24)-LEN(SUBSTITUTE(D24,"@",""))=1,ISNUMBER(SEARCH(".",D24,SEARCH("@",D24))),ISERROR(SEARCH(" ",D24))),"Valid","Invalid")))</f>
        <v>Valid</v>
      </c>
      <c r="R24" s="43" t="str">
        <f aca="false">IF(E24="","Missing",IF(COUNTIF($E$2:$E$207,E24)&gt;1,"Duplicate",IF(AND(LEN(E24)=16,LEFT(E24,5)="+63 9"),"Valid","Check")))</f>
        <v>Valid</v>
      </c>
      <c r="S24" s="43" t="str">
        <f aca="false">IF(AND(Q24="Valid",R24="Valid",N24&lt;&gt;""),"Complete","Needs follow-up")</f>
        <v>Needs follow-up</v>
      </c>
      <c r="T24" s="44" t="s">
        <v>258</v>
      </c>
    </row>
    <row r="25" customFormat="false" ht="18.75" hidden="false" customHeight="true" outlineLevel="0" collapsed="false">
      <c r="A25" s="38" t="s">
        <v>259</v>
      </c>
      <c r="B25" s="39" t="s">
        <v>260</v>
      </c>
      <c r="C25" s="39" t="s">
        <v>261</v>
      </c>
      <c r="D25" s="39" t="s">
        <v>262</v>
      </c>
      <c r="E25" s="39" t="s">
        <v>263</v>
      </c>
      <c r="F25" s="39" t="s">
        <v>163</v>
      </c>
      <c r="G25" s="39" t="s">
        <v>79</v>
      </c>
      <c r="H25" s="39" t="s">
        <v>129</v>
      </c>
      <c r="I25" s="40" t="n">
        <v>45175</v>
      </c>
      <c r="J25" s="40" t="n">
        <v>45974</v>
      </c>
      <c r="K25" s="33" t="n">
        <v>9</v>
      </c>
      <c r="L25" s="34" t="n">
        <v>11010</v>
      </c>
      <c r="M25" s="41" t="n">
        <f aca="false">IFERROR(L25/K25,0)</f>
        <v>1223.33333333333</v>
      </c>
      <c r="N25" s="39" t="s">
        <v>151</v>
      </c>
      <c r="O25" s="42" t="n">
        <f aca="false">IF(J25="","",AsOfDate-J25)</f>
        <v>321</v>
      </c>
      <c r="P25" s="43" t="str">
        <f aca="false">IF(A25="","",IF(AsOfDate-I25&lt;=90,"New",IF(AND(O25&lt;=180,L25&gt;=15000),"VIP",IF(O25&lt;=180,"Regular",IF(O25&lt;=365,"At risk","Lapsed")))))</f>
        <v>At risk</v>
      </c>
      <c r="Q25" s="43" t="str">
        <f aca="false">IF(D25="","Missing",IF(COUNTIF($D$2:$D$207,D25)&gt;1,"Duplicate",IF(AND(LEN(D25)-LEN(SUBSTITUTE(D25,"@",""))=1,ISNUMBER(SEARCH(".",D25,SEARCH("@",D25))),ISERROR(SEARCH(" ",D25))),"Valid","Invalid")))</f>
        <v>Valid</v>
      </c>
      <c r="R25" s="43" t="str">
        <f aca="false">IF(E25="","Missing",IF(COUNTIF($E$2:$E$207,E25)&gt;1,"Duplicate",IF(AND(LEN(E25)=16,LEFT(E25,5)="+63 9"),"Valid","Check")))</f>
        <v>Valid</v>
      </c>
      <c r="S25" s="43" t="str">
        <f aca="false">IF(AND(Q25="Valid",R25="Valid",N25&lt;&gt;""),"Complete","Needs follow-up")</f>
        <v>Complete</v>
      </c>
      <c r="T25" s="44" t="s">
        <v>264</v>
      </c>
    </row>
    <row r="26" customFormat="false" ht="18.75" hidden="false" customHeight="true" outlineLevel="0" collapsed="false">
      <c r="A26" s="38" t="s">
        <v>265</v>
      </c>
      <c r="B26" s="39" t="s">
        <v>266</v>
      </c>
      <c r="C26" s="39" t="s">
        <v>267</v>
      </c>
      <c r="D26" s="39" t="s">
        <v>268</v>
      </c>
      <c r="E26" s="39" t="s">
        <v>269</v>
      </c>
      <c r="F26" s="39" t="s">
        <v>137</v>
      </c>
      <c r="G26" s="39" t="s">
        <v>83</v>
      </c>
      <c r="H26" s="39" t="s">
        <v>129</v>
      </c>
      <c r="I26" s="40" t="n">
        <v>45175</v>
      </c>
      <c r="J26" s="40" t="n">
        <v>45955</v>
      </c>
      <c r="K26" s="33" t="n">
        <v>8</v>
      </c>
      <c r="L26" s="34" t="n">
        <v>5520</v>
      </c>
      <c r="M26" s="41" t="n">
        <f aca="false">IFERROR(L26/K26,0)</f>
        <v>690</v>
      </c>
      <c r="N26" s="39" t="s">
        <v>151</v>
      </c>
      <c r="O26" s="42" t="n">
        <f aca="false">IF(J26="","",AsOfDate-J26)</f>
        <v>340</v>
      </c>
      <c r="P26" s="43" t="str">
        <f aca="false">IF(A26="","",IF(AsOfDate-I26&lt;=90,"New",IF(AND(O26&lt;=180,L26&gt;=15000),"VIP",IF(O26&lt;=180,"Regular",IF(O26&lt;=365,"At risk","Lapsed")))))</f>
        <v>At risk</v>
      </c>
      <c r="Q26" s="43" t="str">
        <f aca="false">IF(D26="","Missing",IF(COUNTIF($D$2:$D$207,D26)&gt;1,"Duplicate",IF(AND(LEN(D26)-LEN(SUBSTITUTE(D26,"@",""))=1,ISNUMBER(SEARCH(".",D26,SEARCH("@",D26))),ISERROR(SEARCH(" ",D26))),"Valid","Invalid")))</f>
        <v>Valid</v>
      </c>
      <c r="R26" s="43" t="str">
        <f aca="false">IF(E26="","Missing",IF(COUNTIF($E$2:$E$207,E26)&gt;1,"Duplicate",IF(AND(LEN(E26)=16,LEFT(E26,5)="+63 9"),"Valid","Check")))</f>
        <v>Valid</v>
      </c>
      <c r="S26" s="43" t="str">
        <f aca="false">IF(AND(Q26="Valid",R26="Valid",N26&lt;&gt;""),"Complete","Needs follow-up")</f>
        <v>Complete</v>
      </c>
      <c r="T26" s="44" t="s">
        <v>270</v>
      </c>
    </row>
    <row r="27" customFormat="false" ht="18.75" hidden="false" customHeight="true" outlineLevel="0" collapsed="false">
      <c r="A27" s="38" t="s">
        <v>271</v>
      </c>
      <c r="B27" s="39" t="s">
        <v>272</v>
      </c>
      <c r="C27" s="39" t="s">
        <v>273</v>
      </c>
      <c r="D27" s="39" t="s">
        <v>274</v>
      </c>
      <c r="E27" s="39" t="s">
        <v>275</v>
      </c>
      <c r="F27" s="39" t="s">
        <v>128</v>
      </c>
      <c r="G27" s="39" t="s">
        <v>79</v>
      </c>
      <c r="H27" s="39" t="s">
        <v>129</v>
      </c>
      <c r="I27" s="40" t="n">
        <v>45176</v>
      </c>
      <c r="J27" s="40" t="n">
        <v>46194</v>
      </c>
      <c r="K27" s="33" t="n">
        <v>14</v>
      </c>
      <c r="L27" s="34" t="n">
        <v>22620</v>
      </c>
      <c r="M27" s="41" t="n">
        <f aca="false">IFERROR(L27/K27,0)</f>
        <v>1615.71428571429</v>
      </c>
      <c r="N27" s="39" t="s">
        <v>151</v>
      </c>
      <c r="O27" s="42" t="n">
        <f aca="false">IF(J27="","",AsOfDate-J27)</f>
        <v>101</v>
      </c>
      <c r="P27" s="43" t="str">
        <f aca="false">IF(A27="","",IF(AsOfDate-I27&lt;=90,"New",IF(AND(O27&lt;=180,L27&gt;=15000),"VIP",IF(O27&lt;=180,"Regular",IF(O27&lt;=365,"At risk","Lapsed")))))</f>
        <v>VIP</v>
      </c>
      <c r="Q27" s="43" t="str">
        <f aca="false">IF(D27="","Missing",IF(COUNTIF($D$2:$D$207,D27)&gt;1,"Duplicate",IF(AND(LEN(D27)-LEN(SUBSTITUTE(D27,"@",""))=1,ISNUMBER(SEARCH(".",D27,SEARCH("@",D27))),ISERROR(SEARCH(" ",D27))),"Valid","Invalid")))</f>
        <v>Valid</v>
      </c>
      <c r="R27" s="43" t="str">
        <f aca="false">IF(E27="","Missing",IF(COUNTIF($E$2:$E$207,E27)&gt;1,"Duplicate",IF(AND(LEN(E27)=16,LEFT(E27,5)="+63 9"),"Valid","Check")))</f>
        <v>Valid</v>
      </c>
      <c r="S27" s="43" t="str">
        <f aca="false">IF(AND(Q27="Valid",R27="Valid",N27&lt;&gt;""),"Complete","Needs follow-up")</f>
        <v>Complete</v>
      </c>
      <c r="T27" s="44" t="s">
        <v>276</v>
      </c>
    </row>
    <row r="28" customFormat="false" ht="18.75" hidden="false" customHeight="true" outlineLevel="0" collapsed="false">
      <c r="A28" s="38" t="s">
        <v>277</v>
      </c>
      <c r="B28" s="39" t="s">
        <v>124</v>
      </c>
      <c r="C28" s="39" t="s">
        <v>231</v>
      </c>
      <c r="D28" s="39" t="s">
        <v>278</v>
      </c>
      <c r="E28" s="39" t="s">
        <v>279</v>
      </c>
      <c r="F28" s="39" t="s">
        <v>120</v>
      </c>
      <c r="G28" s="39" t="s">
        <v>80</v>
      </c>
      <c r="H28" s="39" t="s">
        <v>121</v>
      </c>
      <c r="I28" s="40" t="n">
        <v>45176</v>
      </c>
      <c r="J28" s="40" t="n">
        <v>46166</v>
      </c>
      <c r="K28" s="33" t="n">
        <v>8</v>
      </c>
      <c r="L28" s="34" t="n">
        <v>11660</v>
      </c>
      <c r="M28" s="41" t="n">
        <f aca="false">IFERROR(L28/K28,0)</f>
        <v>1457.5</v>
      </c>
      <c r="N28" s="39" t="s">
        <v>130</v>
      </c>
      <c r="O28" s="42" t="n">
        <f aca="false">IF(J28="","",AsOfDate-J28)</f>
        <v>129</v>
      </c>
      <c r="P28" s="43" t="str">
        <f aca="false">IF(A28="","",IF(AsOfDate-I28&lt;=90,"New",IF(AND(O28&lt;=180,L28&gt;=15000),"VIP",IF(O28&lt;=180,"Regular",IF(O28&lt;=365,"At risk","Lapsed")))))</f>
        <v>Regular</v>
      </c>
      <c r="Q28" s="43" t="str">
        <f aca="false">IF(D28="","Missing",IF(COUNTIF($D$2:$D$207,D28)&gt;1,"Duplicate",IF(AND(LEN(D28)-LEN(SUBSTITUTE(D28,"@",""))=1,ISNUMBER(SEARCH(".",D28,SEARCH("@",D28))),ISERROR(SEARCH(" ",D28))),"Valid","Invalid")))</f>
        <v>Valid</v>
      </c>
      <c r="R28" s="43" t="str">
        <f aca="false">IF(E28="","Missing",IF(COUNTIF($E$2:$E$207,E28)&gt;1,"Duplicate",IF(AND(LEN(E28)=16,LEFT(E28,5)="+63 9"),"Valid","Check")))</f>
        <v>Valid</v>
      </c>
      <c r="S28" s="43" t="str">
        <f aca="false">IF(AND(Q28="Valid",R28="Valid",N28&lt;&gt;""),"Complete","Needs follow-up")</f>
        <v>Complete</v>
      </c>
      <c r="T28" s="44" t="s">
        <v>280</v>
      </c>
    </row>
    <row r="29" customFormat="false" ht="18.75" hidden="false" customHeight="true" outlineLevel="0" collapsed="false">
      <c r="A29" s="38" t="s">
        <v>281</v>
      </c>
      <c r="B29" s="39" t="s">
        <v>185</v>
      </c>
      <c r="C29" s="39" t="s">
        <v>282</v>
      </c>
      <c r="D29" s="39" t="s">
        <v>283</v>
      </c>
      <c r="E29" s="39" t="s">
        <v>284</v>
      </c>
      <c r="F29" s="39" t="s">
        <v>150</v>
      </c>
      <c r="G29" s="39" t="s">
        <v>80</v>
      </c>
      <c r="H29" s="39" t="s">
        <v>285</v>
      </c>
      <c r="I29" s="40" t="n">
        <v>45180</v>
      </c>
      <c r="J29" s="40" t="n">
        <v>46072</v>
      </c>
      <c r="K29" s="33" t="n">
        <v>8</v>
      </c>
      <c r="L29" s="34" t="n">
        <v>10880</v>
      </c>
      <c r="M29" s="41" t="n">
        <f aca="false">IFERROR(L29/K29,0)</f>
        <v>1360</v>
      </c>
      <c r="N29" s="39" t="s">
        <v>130</v>
      </c>
      <c r="O29" s="42" t="n">
        <f aca="false">IF(J29="","",AsOfDate-J29)</f>
        <v>223</v>
      </c>
      <c r="P29" s="43" t="str">
        <f aca="false">IF(A29="","",IF(AsOfDate-I29&lt;=90,"New",IF(AND(O29&lt;=180,L29&gt;=15000),"VIP",IF(O29&lt;=180,"Regular",IF(O29&lt;=365,"At risk","Lapsed")))))</f>
        <v>At risk</v>
      </c>
      <c r="Q29" s="43" t="str">
        <f aca="false">IF(D29="","Missing",IF(COUNTIF($D$2:$D$207,D29)&gt;1,"Duplicate",IF(AND(LEN(D29)-LEN(SUBSTITUTE(D29,"@",""))=1,ISNUMBER(SEARCH(".",D29,SEARCH("@",D29))),ISERROR(SEARCH(" ",D29))),"Valid","Invalid")))</f>
        <v>Valid</v>
      </c>
      <c r="R29" s="43" t="str">
        <f aca="false">IF(E29="","Missing",IF(COUNTIF($E$2:$E$207,E29)&gt;1,"Duplicate",IF(AND(LEN(E29)=16,LEFT(E29,5)="+63 9"),"Valid","Check")))</f>
        <v>Valid</v>
      </c>
      <c r="S29" s="43" t="str">
        <f aca="false">IF(AND(Q29="Valid",R29="Valid",N29&lt;&gt;""),"Complete","Needs follow-up")</f>
        <v>Complete</v>
      </c>
      <c r="T29" s="44" t="s">
        <v>286</v>
      </c>
    </row>
    <row r="30" customFormat="false" ht="18.75" hidden="false" customHeight="true" outlineLevel="0" collapsed="false">
      <c r="A30" s="38" t="s">
        <v>287</v>
      </c>
      <c r="B30" s="39" t="s">
        <v>272</v>
      </c>
      <c r="C30" s="39" t="s">
        <v>288</v>
      </c>
      <c r="D30" s="39"/>
      <c r="E30" s="39" t="s">
        <v>289</v>
      </c>
      <c r="F30" s="39" t="s">
        <v>128</v>
      </c>
      <c r="G30" s="39" t="s">
        <v>79</v>
      </c>
      <c r="H30" s="39" t="s">
        <v>121</v>
      </c>
      <c r="I30" s="40" t="n">
        <v>45181</v>
      </c>
      <c r="J30" s="40" t="n">
        <v>46058</v>
      </c>
      <c r="K30" s="33" t="n">
        <v>4</v>
      </c>
      <c r="L30" s="34" t="n">
        <v>4230</v>
      </c>
      <c r="M30" s="41" t="n">
        <f aca="false">IFERROR(L30/K30,0)</f>
        <v>1057.5</v>
      </c>
      <c r="N30" s="39" t="s">
        <v>151</v>
      </c>
      <c r="O30" s="42" t="n">
        <f aca="false">IF(J30="","",AsOfDate-J30)</f>
        <v>237</v>
      </c>
      <c r="P30" s="43" t="str">
        <f aca="false">IF(A30="","",IF(AsOfDate-I30&lt;=90,"New",IF(AND(O30&lt;=180,L30&gt;=15000),"VIP",IF(O30&lt;=180,"Regular",IF(O30&lt;=365,"At risk","Lapsed")))))</f>
        <v>At risk</v>
      </c>
      <c r="Q30" s="43" t="str">
        <f aca="false">IF(D30="","Missing",IF(COUNTIF($D$2:$D$207,D30)&gt;1,"Duplicate",IF(AND(LEN(D30)-LEN(SUBSTITUTE(D30,"@",""))=1,ISNUMBER(SEARCH(".",D30,SEARCH("@",D30))),ISERROR(SEARCH(" ",D30))),"Valid","Invalid")))</f>
        <v>Missing</v>
      </c>
      <c r="R30" s="43" t="str">
        <f aca="false">IF(E30="","Missing",IF(COUNTIF($E$2:$E$207,E30)&gt;1,"Duplicate",IF(AND(LEN(E30)=16,LEFT(E30,5)="+63 9"),"Valid","Check")))</f>
        <v>Valid</v>
      </c>
      <c r="S30" s="43" t="str">
        <f aca="false">IF(AND(Q30="Valid",R30="Valid",N30&lt;&gt;""),"Complete","Needs follow-up")</f>
        <v>Needs follow-up</v>
      </c>
      <c r="T30" s="44" t="s">
        <v>290</v>
      </c>
    </row>
    <row r="31" customFormat="false" ht="18.75" hidden="false" customHeight="true" outlineLevel="0" collapsed="false">
      <c r="A31" s="38" t="s">
        <v>291</v>
      </c>
      <c r="B31" s="39" t="s">
        <v>266</v>
      </c>
      <c r="C31" s="39" t="s">
        <v>292</v>
      </c>
      <c r="D31" s="39" t="s">
        <v>293</v>
      </c>
      <c r="E31" s="39" t="s">
        <v>294</v>
      </c>
      <c r="F31" s="39" t="s">
        <v>295</v>
      </c>
      <c r="G31" s="39" t="s">
        <v>84</v>
      </c>
      <c r="H31" s="39" t="s">
        <v>129</v>
      </c>
      <c r="I31" s="40" t="n">
        <v>45183</v>
      </c>
      <c r="J31" s="40" t="n">
        <v>46286</v>
      </c>
      <c r="K31" s="33" t="n">
        <v>22</v>
      </c>
      <c r="L31" s="34" t="n">
        <v>28050</v>
      </c>
      <c r="M31" s="41" t="n">
        <f aca="false">IFERROR(L31/K31,0)</f>
        <v>1275</v>
      </c>
      <c r="N31" s="39" t="s">
        <v>151</v>
      </c>
      <c r="O31" s="42" t="n">
        <f aca="false">IF(J31="","",AsOfDate-J31)</f>
        <v>9</v>
      </c>
      <c r="P31" s="43" t="str">
        <f aca="false">IF(A31="","",IF(AsOfDate-I31&lt;=90,"New",IF(AND(O31&lt;=180,L31&gt;=15000),"VIP",IF(O31&lt;=180,"Regular",IF(O31&lt;=365,"At risk","Lapsed")))))</f>
        <v>VIP</v>
      </c>
      <c r="Q31" s="43" t="str">
        <f aca="false">IF(D31="","Missing",IF(COUNTIF($D$2:$D$207,D31)&gt;1,"Duplicate",IF(AND(LEN(D31)-LEN(SUBSTITUTE(D31,"@",""))=1,ISNUMBER(SEARCH(".",D31,SEARCH("@",D31))),ISERROR(SEARCH(" ",D31))),"Valid","Invalid")))</f>
        <v>Valid</v>
      </c>
      <c r="R31" s="43" t="str">
        <f aca="false">IF(E31="","Missing",IF(COUNTIF($E$2:$E$207,E31)&gt;1,"Duplicate",IF(AND(LEN(E31)=16,LEFT(E31,5)="+63 9"),"Valid","Check")))</f>
        <v>Valid</v>
      </c>
      <c r="S31" s="43" t="str">
        <f aca="false">IF(AND(Q31="Valid",R31="Valid",N31&lt;&gt;""),"Complete","Needs follow-up")</f>
        <v>Complete</v>
      </c>
      <c r="T31" s="44" t="s">
        <v>296</v>
      </c>
    </row>
    <row r="32" customFormat="false" ht="18.75" hidden="false" customHeight="true" outlineLevel="0" collapsed="false">
      <c r="A32" s="38" t="s">
        <v>297</v>
      </c>
      <c r="B32" s="39" t="s">
        <v>298</v>
      </c>
      <c r="C32" s="39" t="s">
        <v>141</v>
      </c>
      <c r="D32" s="39" t="s">
        <v>299</v>
      </c>
      <c r="E32" s="39" t="s">
        <v>300</v>
      </c>
      <c r="F32" s="39" t="s">
        <v>128</v>
      </c>
      <c r="G32" s="39" t="s">
        <v>79</v>
      </c>
      <c r="H32" s="39" t="s">
        <v>121</v>
      </c>
      <c r="I32" s="40" t="n">
        <v>45190</v>
      </c>
      <c r="J32" s="40" t="n">
        <v>45858</v>
      </c>
      <c r="K32" s="33" t="n">
        <v>2</v>
      </c>
      <c r="L32" s="34" t="n">
        <v>2460</v>
      </c>
      <c r="M32" s="41" t="n">
        <f aca="false">IFERROR(L32/K32,0)</f>
        <v>1230</v>
      </c>
      <c r="N32" s="39" t="s">
        <v>151</v>
      </c>
      <c r="O32" s="42" t="n">
        <f aca="false">IF(J32="","",AsOfDate-J32)</f>
        <v>437</v>
      </c>
      <c r="P32" s="43" t="str">
        <f aca="false">IF(A32="","",IF(AsOfDate-I32&lt;=90,"New",IF(AND(O32&lt;=180,L32&gt;=15000),"VIP",IF(O32&lt;=180,"Regular",IF(O32&lt;=365,"At risk","Lapsed")))))</f>
        <v>Lapsed</v>
      </c>
      <c r="Q32" s="43" t="str">
        <f aca="false">IF(D32="","Missing",IF(COUNTIF($D$2:$D$207,D32)&gt;1,"Duplicate",IF(AND(LEN(D32)-LEN(SUBSTITUTE(D32,"@",""))=1,ISNUMBER(SEARCH(".",D32,SEARCH("@",D32))),ISERROR(SEARCH(" ",D32))),"Valid","Invalid")))</f>
        <v>Valid</v>
      </c>
      <c r="R32" s="43" t="str">
        <f aca="false">IF(E32="","Missing",IF(COUNTIF($E$2:$E$207,E32)&gt;1,"Duplicate",IF(AND(LEN(E32)=16,LEFT(E32,5)="+63 9"),"Valid","Check")))</f>
        <v>Valid</v>
      </c>
      <c r="S32" s="43" t="str">
        <f aca="false">IF(AND(Q32="Valid",R32="Valid",N32&lt;&gt;""),"Complete","Needs follow-up")</f>
        <v>Complete</v>
      </c>
      <c r="T32" s="44" t="s">
        <v>301</v>
      </c>
    </row>
    <row r="33" customFormat="false" ht="18.75" hidden="false" customHeight="true" outlineLevel="0" collapsed="false">
      <c r="A33" s="38" t="s">
        <v>302</v>
      </c>
      <c r="B33" s="39" t="s">
        <v>303</v>
      </c>
      <c r="C33" s="39" t="s">
        <v>304</v>
      </c>
      <c r="D33" s="39" t="s">
        <v>305</v>
      </c>
      <c r="E33" s="39" t="s">
        <v>306</v>
      </c>
      <c r="F33" s="39" t="s">
        <v>128</v>
      </c>
      <c r="G33" s="39" t="s">
        <v>79</v>
      </c>
      <c r="H33" s="39" t="s">
        <v>129</v>
      </c>
      <c r="I33" s="40" t="n">
        <v>45196</v>
      </c>
      <c r="J33" s="40" t="n">
        <v>46237</v>
      </c>
      <c r="K33" s="33" t="n">
        <v>8</v>
      </c>
      <c r="L33" s="34" t="n">
        <v>7990</v>
      </c>
      <c r="M33" s="41" t="n">
        <f aca="false">IFERROR(L33/K33,0)</f>
        <v>998.75</v>
      </c>
      <c r="N33" s="39" t="s">
        <v>151</v>
      </c>
      <c r="O33" s="42" t="n">
        <f aca="false">IF(J33="","",AsOfDate-J33)</f>
        <v>58</v>
      </c>
      <c r="P33" s="43" t="str">
        <f aca="false">IF(A33="","",IF(AsOfDate-I33&lt;=90,"New",IF(AND(O33&lt;=180,L33&gt;=15000),"VIP",IF(O33&lt;=180,"Regular",IF(O33&lt;=365,"At risk","Lapsed")))))</f>
        <v>Regular</v>
      </c>
      <c r="Q33" s="43" t="str">
        <f aca="false">IF(D33="","Missing",IF(COUNTIF($D$2:$D$207,D33)&gt;1,"Duplicate",IF(AND(LEN(D33)-LEN(SUBSTITUTE(D33,"@",""))=1,ISNUMBER(SEARCH(".",D33,SEARCH("@",D33))),ISERROR(SEARCH(" ",D33))),"Valid","Invalid")))</f>
        <v>Valid</v>
      </c>
      <c r="R33" s="43" t="str">
        <f aca="false">IF(E33="","Missing",IF(COUNTIF($E$2:$E$207,E33)&gt;1,"Duplicate",IF(AND(LEN(E33)=16,LEFT(E33,5)="+63 9"),"Valid","Check")))</f>
        <v>Valid</v>
      </c>
      <c r="S33" s="43" t="str">
        <f aca="false">IF(AND(Q33="Valid",R33="Valid",N33&lt;&gt;""),"Complete","Needs follow-up")</f>
        <v>Complete</v>
      </c>
      <c r="T33" s="44" t="s">
        <v>307</v>
      </c>
    </row>
    <row r="34" customFormat="false" ht="18.75" hidden="false" customHeight="true" outlineLevel="0" collapsed="false">
      <c r="A34" s="38" t="s">
        <v>308</v>
      </c>
      <c r="B34" s="39" t="s">
        <v>303</v>
      </c>
      <c r="C34" s="39" t="s">
        <v>309</v>
      </c>
      <c r="D34" s="39" t="s">
        <v>310</v>
      </c>
      <c r="E34" s="39" t="s">
        <v>311</v>
      </c>
      <c r="F34" s="39" t="s">
        <v>128</v>
      </c>
      <c r="G34" s="39" t="s">
        <v>79</v>
      </c>
      <c r="H34" s="39" t="s">
        <v>312</v>
      </c>
      <c r="I34" s="40" t="n">
        <v>45197</v>
      </c>
      <c r="J34" s="40" t="n">
        <v>45619</v>
      </c>
      <c r="K34" s="33" t="n">
        <v>5</v>
      </c>
      <c r="L34" s="34" t="n">
        <v>4580</v>
      </c>
      <c r="M34" s="41" t="n">
        <f aca="false">IFERROR(L34/K34,0)</f>
        <v>916</v>
      </c>
      <c r="N34" s="39" t="s">
        <v>130</v>
      </c>
      <c r="O34" s="42" t="n">
        <f aca="false">IF(J34="","",AsOfDate-J34)</f>
        <v>676</v>
      </c>
      <c r="P34" s="43" t="str">
        <f aca="false">IF(A34="","",IF(AsOfDate-I34&lt;=90,"New",IF(AND(O34&lt;=180,L34&gt;=15000),"VIP",IF(O34&lt;=180,"Regular",IF(O34&lt;=365,"At risk","Lapsed")))))</f>
        <v>Lapsed</v>
      </c>
      <c r="Q34" s="43" t="str">
        <f aca="false">IF(D34="","Missing",IF(COUNTIF($D$2:$D$207,D34)&gt;1,"Duplicate",IF(AND(LEN(D34)-LEN(SUBSTITUTE(D34,"@",""))=1,ISNUMBER(SEARCH(".",D34,SEARCH("@",D34))),ISERROR(SEARCH(" ",D34))),"Valid","Invalid")))</f>
        <v>Valid</v>
      </c>
      <c r="R34" s="43" t="str">
        <f aca="false">IF(E34="","Missing",IF(COUNTIF($E$2:$E$207,E34)&gt;1,"Duplicate",IF(AND(LEN(E34)=16,LEFT(E34,5)="+63 9"),"Valid","Check")))</f>
        <v>Valid</v>
      </c>
      <c r="S34" s="43" t="str">
        <f aca="false">IF(AND(Q34="Valid",R34="Valid",N34&lt;&gt;""),"Complete","Needs follow-up")</f>
        <v>Complete</v>
      </c>
      <c r="T34" s="44" t="s">
        <v>313</v>
      </c>
    </row>
    <row r="35" customFormat="false" ht="18.75" hidden="false" customHeight="true" outlineLevel="0" collapsed="false">
      <c r="A35" s="38" t="s">
        <v>314</v>
      </c>
      <c r="B35" s="39" t="s">
        <v>315</v>
      </c>
      <c r="C35" s="39" t="s">
        <v>261</v>
      </c>
      <c r="D35" s="39" t="s">
        <v>316</v>
      </c>
      <c r="E35" s="39" t="s">
        <v>317</v>
      </c>
      <c r="F35" s="39" t="s">
        <v>257</v>
      </c>
      <c r="G35" s="39" t="s">
        <v>81</v>
      </c>
      <c r="H35" s="39" t="s">
        <v>121</v>
      </c>
      <c r="I35" s="40" t="n">
        <v>45203</v>
      </c>
      <c r="J35" s="40" t="n">
        <v>46208</v>
      </c>
      <c r="K35" s="33" t="n">
        <v>8</v>
      </c>
      <c r="L35" s="34" t="n">
        <v>7450</v>
      </c>
      <c r="M35" s="41" t="n">
        <f aca="false">IFERROR(L35/K35,0)</f>
        <v>931.25</v>
      </c>
      <c r="N35" s="39" t="s">
        <v>130</v>
      </c>
      <c r="O35" s="42" t="n">
        <f aca="false">IF(J35="","",AsOfDate-J35)</f>
        <v>87</v>
      </c>
      <c r="P35" s="43" t="str">
        <f aca="false">IF(A35="","",IF(AsOfDate-I35&lt;=90,"New",IF(AND(O35&lt;=180,L35&gt;=15000),"VIP",IF(O35&lt;=180,"Regular",IF(O35&lt;=365,"At risk","Lapsed")))))</f>
        <v>Regular</v>
      </c>
      <c r="Q35" s="43" t="str">
        <f aca="false">IF(D35="","Missing",IF(COUNTIF($D$2:$D$207,D35)&gt;1,"Duplicate",IF(AND(LEN(D35)-LEN(SUBSTITUTE(D35,"@",""))=1,ISNUMBER(SEARCH(".",D35,SEARCH("@",D35))),ISERROR(SEARCH(" ",D35))),"Valid","Invalid")))</f>
        <v>Valid</v>
      </c>
      <c r="R35" s="43" t="str">
        <f aca="false">IF(E35="","Missing",IF(COUNTIF($E$2:$E$207,E35)&gt;1,"Duplicate",IF(AND(LEN(E35)=16,LEFT(E35,5)="+63 9"),"Valid","Check")))</f>
        <v>Valid</v>
      </c>
      <c r="S35" s="43" t="str">
        <f aca="false">IF(AND(Q35="Valid",R35="Valid",N35&lt;&gt;""),"Complete","Needs follow-up")</f>
        <v>Complete</v>
      </c>
      <c r="T35" s="44" t="s">
        <v>318</v>
      </c>
    </row>
    <row r="36" customFormat="false" ht="18.75" hidden="false" customHeight="true" outlineLevel="0" collapsed="false">
      <c r="A36" s="38" t="s">
        <v>319</v>
      </c>
      <c r="B36" s="39" t="s">
        <v>320</v>
      </c>
      <c r="C36" s="39" t="s">
        <v>321</v>
      </c>
      <c r="D36" s="39" t="s">
        <v>322</v>
      </c>
      <c r="E36" s="39" t="s">
        <v>323</v>
      </c>
      <c r="F36" s="39" t="s">
        <v>324</v>
      </c>
      <c r="G36" s="39" t="s">
        <v>80</v>
      </c>
      <c r="H36" s="39" t="s">
        <v>312</v>
      </c>
      <c r="I36" s="40" t="n">
        <v>45205</v>
      </c>
      <c r="J36" s="40" t="n">
        <v>46079</v>
      </c>
      <c r="K36" s="33" t="n">
        <v>6</v>
      </c>
      <c r="L36" s="34" t="n">
        <v>9220</v>
      </c>
      <c r="M36" s="41" t="n">
        <f aca="false">IFERROR(L36/K36,0)</f>
        <v>1536.66666666667</v>
      </c>
      <c r="N36" s="39" t="s">
        <v>151</v>
      </c>
      <c r="O36" s="42" t="n">
        <f aca="false">IF(J36="","",AsOfDate-J36)</f>
        <v>216</v>
      </c>
      <c r="P36" s="43" t="str">
        <f aca="false">IF(A36="","",IF(AsOfDate-I36&lt;=90,"New",IF(AND(O36&lt;=180,L36&gt;=15000),"VIP",IF(O36&lt;=180,"Regular",IF(O36&lt;=365,"At risk","Lapsed")))))</f>
        <v>At risk</v>
      </c>
      <c r="Q36" s="43" t="str">
        <f aca="false">IF(D36="","Missing",IF(COUNTIF($D$2:$D$207,D36)&gt;1,"Duplicate",IF(AND(LEN(D36)-LEN(SUBSTITUTE(D36,"@",""))=1,ISNUMBER(SEARCH(".",D36,SEARCH("@",D36))),ISERROR(SEARCH(" ",D36))),"Valid","Invalid")))</f>
        <v>Valid</v>
      </c>
      <c r="R36" s="43" t="str">
        <f aca="false">IF(E36="","Missing",IF(COUNTIF($E$2:$E$207,E36)&gt;1,"Duplicate",IF(AND(LEN(E36)=16,LEFT(E36,5)="+63 9"),"Valid","Check")))</f>
        <v>Valid</v>
      </c>
      <c r="S36" s="43" t="str">
        <f aca="false">IF(AND(Q36="Valid",R36="Valid",N36&lt;&gt;""),"Complete","Needs follow-up")</f>
        <v>Complete</v>
      </c>
      <c r="T36" s="44" t="s">
        <v>325</v>
      </c>
    </row>
    <row r="37" customFormat="false" ht="18.75" hidden="false" customHeight="true" outlineLevel="0" collapsed="false">
      <c r="A37" s="38" t="s">
        <v>326</v>
      </c>
      <c r="B37" s="39" t="s">
        <v>327</v>
      </c>
      <c r="C37" s="39" t="s">
        <v>328</v>
      </c>
      <c r="D37" s="39" t="s">
        <v>329</v>
      </c>
      <c r="E37" s="39" t="s">
        <v>330</v>
      </c>
      <c r="F37" s="39" t="s">
        <v>150</v>
      </c>
      <c r="G37" s="39" t="s">
        <v>80</v>
      </c>
      <c r="H37" s="39" t="s">
        <v>129</v>
      </c>
      <c r="I37" s="40" t="n">
        <v>45206</v>
      </c>
      <c r="J37" s="40" t="n">
        <v>46177</v>
      </c>
      <c r="K37" s="33" t="n">
        <v>17</v>
      </c>
      <c r="L37" s="34" t="n">
        <v>21010</v>
      </c>
      <c r="M37" s="41" t="n">
        <f aca="false">IFERROR(L37/K37,0)</f>
        <v>1235.88235294118</v>
      </c>
      <c r="N37" s="39" t="s">
        <v>130</v>
      </c>
      <c r="O37" s="42" t="n">
        <f aca="false">IF(J37="","",AsOfDate-J37)</f>
        <v>118</v>
      </c>
      <c r="P37" s="43" t="str">
        <f aca="false">IF(A37="","",IF(AsOfDate-I37&lt;=90,"New",IF(AND(O37&lt;=180,L37&gt;=15000),"VIP",IF(O37&lt;=180,"Regular",IF(O37&lt;=365,"At risk","Lapsed")))))</f>
        <v>VIP</v>
      </c>
      <c r="Q37" s="43" t="str">
        <f aca="false">IF(D37="","Missing",IF(COUNTIF($D$2:$D$207,D37)&gt;1,"Duplicate",IF(AND(LEN(D37)-LEN(SUBSTITUTE(D37,"@",""))=1,ISNUMBER(SEARCH(".",D37,SEARCH("@",D37))),ISERROR(SEARCH(" ",D37))),"Valid","Invalid")))</f>
        <v>Valid</v>
      </c>
      <c r="R37" s="43" t="str">
        <f aca="false">IF(E37="","Missing",IF(COUNTIF($E$2:$E$207,E37)&gt;1,"Duplicate",IF(AND(LEN(E37)=16,LEFT(E37,5)="+63 9"),"Valid","Check")))</f>
        <v>Valid</v>
      </c>
      <c r="S37" s="43" t="str">
        <f aca="false">IF(AND(Q37="Valid",R37="Valid",N37&lt;&gt;""),"Complete","Needs follow-up")</f>
        <v>Complete</v>
      </c>
      <c r="T37" s="44" t="s">
        <v>331</v>
      </c>
    </row>
    <row r="38" customFormat="false" ht="18.75" hidden="false" customHeight="true" outlineLevel="0" collapsed="false">
      <c r="A38" s="38" t="s">
        <v>332</v>
      </c>
      <c r="B38" s="39" t="s">
        <v>333</v>
      </c>
      <c r="C38" s="39" t="s">
        <v>186</v>
      </c>
      <c r="D38" s="39" t="s">
        <v>334</v>
      </c>
      <c r="E38" s="39" t="s">
        <v>335</v>
      </c>
      <c r="F38" s="39" t="s">
        <v>128</v>
      </c>
      <c r="G38" s="39" t="s">
        <v>79</v>
      </c>
      <c r="H38" s="39" t="s">
        <v>164</v>
      </c>
      <c r="I38" s="40" t="n">
        <v>45212</v>
      </c>
      <c r="J38" s="40" t="n">
        <v>46181</v>
      </c>
      <c r="K38" s="33" t="n">
        <v>15</v>
      </c>
      <c r="L38" s="34" t="n">
        <v>24400</v>
      </c>
      <c r="M38" s="41" t="n">
        <f aca="false">IFERROR(L38/K38,0)</f>
        <v>1626.66666666667</v>
      </c>
      <c r="N38" s="39" t="s">
        <v>151</v>
      </c>
      <c r="O38" s="42" t="n">
        <f aca="false">IF(J38="","",AsOfDate-J38)</f>
        <v>114</v>
      </c>
      <c r="P38" s="43" t="str">
        <f aca="false">IF(A38="","",IF(AsOfDate-I38&lt;=90,"New",IF(AND(O38&lt;=180,L38&gt;=15000),"VIP",IF(O38&lt;=180,"Regular",IF(O38&lt;=365,"At risk","Lapsed")))))</f>
        <v>VIP</v>
      </c>
      <c r="Q38" s="43" t="str">
        <f aca="false">IF(D38="","Missing",IF(COUNTIF($D$2:$D$207,D38)&gt;1,"Duplicate",IF(AND(LEN(D38)-LEN(SUBSTITUTE(D38,"@",""))=1,ISNUMBER(SEARCH(".",D38,SEARCH("@",D38))),ISERROR(SEARCH(" ",D38))),"Valid","Invalid")))</f>
        <v>Valid</v>
      </c>
      <c r="R38" s="43" t="str">
        <f aca="false">IF(E38="","Missing",IF(COUNTIF($E$2:$E$207,E38)&gt;1,"Duplicate",IF(AND(LEN(E38)=16,LEFT(E38,5)="+63 9"),"Valid","Check")))</f>
        <v>Valid</v>
      </c>
      <c r="S38" s="43" t="str">
        <f aca="false">IF(AND(Q38="Valid",R38="Valid",N38&lt;&gt;""),"Complete","Needs follow-up")</f>
        <v>Complete</v>
      </c>
      <c r="T38" s="44" t="s">
        <v>336</v>
      </c>
    </row>
    <row r="39" customFormat="false" ht="18.75" hidden="false" customHeight="true" outlineLevel="0" collapsed="false">
      <c r="A39" s="38" t="s">
        <v>337</v>
      </c>
      <c r="B39" s="39" t="s">
        <v>338</v>
      </c>
      <c r="C39" s="39" t="s">
        <v>292</v>
      </c>
      <c r="D39" s="39" t="s">
        <v>339</v>
      </c>
      <c r="E39" s="39" t="s">
        <v>340</v>
      </c>
      <c r="F39" s="39" t="s">
        <v>170</v>
      </c>
      <c r="G39" s="39" t="s">
        <v>82</v>
      </c>
      <c r="H39" s="39" t="s">
        <v>129</v>
      </c>
      <c r="I39" s="40" t="n">
        <v>45214</v>
      </c>
      <c r="J39" s="40" t="n">
        <v>46092</v>
      </c>
      <c r="K39" s="33" t="n">
        <v>5</v>
      </c>
      <c r="L39" s="34" t="n">
        <v>7020</v>
      </c>
      <c r="M39" s="41" t="n">
        <f aca="false">IFERROR(L39/K39,0)</f>
        <v>1404</v>
      </c>
      <c r="N39" s="39" t="s">
        <v>151</v>
      </c>
      <c r="O39" s="42" t="n">
        <f aca="false">IF(J39="","",AsOfDate-J39)</f>
        <v>203</v>
      </c>
      <c r="P39" s="43" t="str">
        <f aca="false">IF(A39="","",IF(AsOfDate-I39&lt;=90,"New",IF(AND(O39&lt;=180,L39&gt;=15000),"VIP",IF(O39&lt;=180,"Regular",IF(O39&lt;=365,"At risk","Lapsed")))))</f>
        <v>At risk</v>
      </c>
      <c r="Q39" s="43" t="str">
        <f aca="false">IF(D39="","Missing",IF(COUNTIF($D$2:$D$207,D39)&gt;1,"Duplicate",IF(AND(LEN(D39)-LEN(SUBSTITUTE(D39,"@",""))=1,ISNUMBER(SEARCH(".",D39,SEARCH("@",D39))),ISERROR(SEARCH(" ",D39))),"Valid","Invalid")))</f>
        <v>Valid</v>
      </c>
      <c r="R39" s="43" t="str">
        <f aca="false">IF(E39="","Missing",IF(COUNTIF($E$2:$E$207,E39)&gt;1,"Duplicate",IF(AND(LEN(E39)=16,LEFT(E39,5)="+63 9"),"Valid","Check")))</f>
        <v>Valid</v>
      </c>
      <c r="S39" s="43" t="str">
        <f aca="false">IF(AND(Q39="Valid",R39="Valid",N39&lt;&gt;""),"Complete","Needs follow-up")</f>
        <v>Complete</v>
      </c>
      <c r="T39" s="44" t="s">
        <v>341</v>
      </c>
    </row>
    <row r="40" customFormat="false" ht="18.75" hidden="false" customHeight="true" outlineLevel="0" collapsed="false">
      <c r="A40" s="38" t="s">
        <v>342</v>
      </c>
      <c r="B40" s="39" t="s">
        <v>154</v>
      </c>
      <c r="C40" s="39" t="s">
        <v>343</v>
      </c>
      <c r="D40" s="39" t="s">
        <v>344</v>
      </c>
      <c r="E40" s="39" t="s">
        <v>345</v>
      </c>
      <c r="F40" s="39" t="s">
        <v>150</v>
      </c>
      <c r="G40" s="39" t="s">
        <v>80</v>
      </c>
      <c r="H40" s="39" t="s">
        <v>121</v>
      </c>
      <c r="I40" s="40" t="n">
        <v>45225</v>
      </c>
      <c r="J40" s="40" t="n">
        <v>46093</v>
      </c>
      <c r="K40" s="33" t="n">
        <v>6</v>
      </c>
      <c r="L40" s="34" t="n">
        <v>5540</v>
      </c>
      <c r="M40" s="41" t="n">
        <f aca="false">IFERROR(L40/K40,0)</f>
        <v>923.333333333333</v>
      </c>
      <c r="N40" s="39" t="s">
        <v>151</v>
      </c>
      <c r="O40" s="42" t="n">
        <f aca="false">IF(J40="","",AsOfDate-J40)</f>
        <v>202</v>
      </c>
      <c r="P40" s="43" t="str">
        <f aca="false">IF(A40="","",IF(AsOfDate-I40&lt;=90,"New",IF(AND(O40&lt;=180,L40&gt;=15000),"VIP",IF(O40&lt;=180,"Regular",IF(O40&lt;=365,"At risk","Lapsed")))))</f>
        <v>At risk</v>
      </c>
      <c r="Q40" s="43" t="str">
        <f aca="false">IF(D40="","Missing",IF(COUNTIF($D$2:$D$207,D40)&gt;1,"Duplicate",IF(AND(LEN(D40)-LEN(SUBSTITUTE(D40,"@",""))=1,ISNUMBER(SEARCH(".",D40,SEARCH("@",D40))),ISERROR(SEARCH(" ",D40))),"Valid","Invalid")))</f>
        <v>Valid</v>
      </c>
      <c r="R40" s="43" t="str">
        <f aca="false">IF(E40="","Missing",IF(COUNTIF($E$2:$E$207,E40)&gt;1,"Duplicate",IF(AND(LEN(E40)=16,LEFT(E40,5)="+63 9"),"Valid","Check")))</f>
        <v>Valid</v>
      </c>
      <c r="S40" s="43" t="str">
        <f aca="false">IF(AND(Q40="Valid",R40="Valid",N40&lt;&gt;""),"Complete","Needs follow-up")</f>
        <v>Complete</v>
      </c>
      <c r="T40" s="44" t="s">
        <v>346</v>
      </c>
    </row>
    <row r="41" customFormat="false" ht="18.75" hidden="false" customHeight="true" outlineLevel="0" collapsed="false">
      <c r="A41" s="38" t="s">
        <v>347</v>
      </c>
      <c r="B41" s="39" t="s">
        <v>348</v>
      </c>
      <c r="C41" s="39" t="s">
        <v>349</v>
      </c>
      <c r="D41" s="39" t="s">
        <v>350</v>
      </c>
      <c r="E41" s="39" t="s">
        <v>351</v>
      </c>
      <c r="F41" s="39" t="s">
        <v>128</v>
      </c>
      <c r="G41" s="39" t="s">
        <v>79</v>
      </c>
      <c r="H41" s="39" t="s">
        <v>164</v>
      </c>
      <c r="I41" s="40" t="n">
        <v>45229</v>
      </c>
      <c r="J41" s="40" t="n">
        <v>45507</v>
      </c>
      <c r="K41" s="33" t="n">
        <v>3</v>
      </c>
      <c r="L41" s="34" t="n">
        <v>4580</v>
      </c>
      <c r="M41" s="41" t="n">
        <f aca="false">IFERROR(L41/K41,0)</f>
        <v>1526.66666666667</v>
      </c>
      <c r="N41" s="39" t="s">
        <v>151</v>
      </c>
      <c r="O41" s="42" t="n">
        <f aca="false">IF(J41="","",AsOfDate-J41)</f>
        <v>788</v>
      </c>
      <c r="P41" s="43" t="str">
        <f aca="false">IF(A41="","",IF(AsOfDate-I41&lt;=90,"New",IF(AND(O41&lt;=180,L41&gt;=15000),"VIP",IF(O41&lt;=180,"Regular",IF(O41&lt;=365,"At risk","Lapsed")))))</f>
        <v>Lapsed</v>
      </c>
      <c r="Q41" s="43" t="str">
        <f aca="false">IF(D41="","Missing",IF(COUNTIF($D$2:$D$207,D41)&gt;1,"Duplicate",IF(AND(LEN(D41)-LEN(SUBSTITUTE(D41,"@",""))=1,ISNUMBER(SEARCH(".",D41,SEARCH("@",D41))),ISERROR(SEARCH(" ",D41))),"Valid","Invalid")))</f>
        <v>Valid</v>
      </c>
      <c r="R41" s="43" t="str">
        <f aca="false">IF(E41="","Missing",IF(COUNTIF($E$2:$E$207,E41)&gt;1,"Duplicate",IF(AND(LEN(E41)=16,LEFT(E41,5)="+63 9"),"Valid","Check")))</f>
        <v>Valid</v>
      </c>
      <c r="S41" s="43" t="str">
        <f aca="false">IF(AND(Q41="Valid",R41="Valid",N41&lt;&gt;""),"Complete","Needs follow-up")</f>
        <v>Complete</v>
      </c>
      <c r="T41" s="44" t="s">
        <v>352</v>
      </c>
    </row>
    <row r="42" customFormat="false" ht="18.75" hidden="false" customHeight="true" outlineLevel="0" collapsed="false">
      <c r="A42" s="38" t="s">
        <v>353</v>
      </c>
      <c r="B42" s="39" t="s">
        <v>354</v>
      </c>
      <c r="C42" s="39" t="s">
        <v>355</v>
      </c>
      <c r="D42" s="39" t="s">
        <v>356</v>
      </c>
      <c r="E42" s="39" t="s">
        <v>357</v>
      </c>
      <c r="F42" s="39" t="s">
        <v>128</v>
      </c>
      <c r="G42" s="39" t="s">
        <v>79</v>
      </c>
      <c r="H42" s="39" t="s">
        <v>164</v>
      </c>
      <c r="I42" s="40" t="n">
        <v>45230</v>
      </c>
      <c r="J42" s="40" t="n">
        <v>46155</v>
      </c>
      <c r="K42" s="33" t="n">
        <v>11</v>
      </c>
      <c r="L42" s="34" t="n">
        <v>14320</v>
      </c>
      <c r="M42" s="41" t="n">
        <f aca="false">IFERROR(L42/K42,0)</f>
        <v>1301.81818181818</v>
      </c>
      <c r="N42" s="39" t="s">
        <v>151</v>
      </c>
      <c r="O42" s="42" t="n">
        <f aca="false">IF(J42="","",AsOfDate-J42)</f>
        <v>140</v>
      </c>
      <c r="P42" s="43" t="str">
        <f aca="false">IF(A42="","",IF(AsOfDate-I42&lt;=90,"New",IF(AND(O42&lt;=180,L42&gt;=15000),"VIP",IF(O42&lt;=180,"Regular",IF(O42&lt;=365,"At risk","Lapsed")))))</f>
        <v>Regular</v>
      </c>
      <c r="Q42" s="43" t="str">
        <f aca="false">IF(D42="","Missing",IF(COUNTIF($D$2:$D$207,D42)&gt;1,"Duplicate",IF(AND(LEN(D42)-LEN(SUBSTITUTE(D42,"@",""))=1,ISNUMBER(SEARCH(".",D42,SEARCH("@",D42))),ISERROR(SEARCH(" ",D42))),"Valid","Invalid")))</f>
        <v>Valid</v>
      </c>
      <c r="R42" s="43" t="str">
        <f aca="false">IF(E42="","Missing",IF(COUNTIF($E$2:$E$207,E42)&gt;1,"Duplicate",IF(AND(LEN(E42)=16,LEFT(E42,5)="+63 9"),"Valid","Check")))</f>
        <v>Valid</v>
      </c>
      <c r="S42" s="43" t="str">
        <f aca="false">IF(AND(Q42="Valid",R42="Valid",N42&lt;&gt;""),"Complete","Needs follow-up")</f>
        <v>Complete</v>
      </c>
      <c r="T42" s="44" t="s">
        <v>358</v>
      </c>
    </row>
    <row r="43" customFormat="false" ht="18.75" hidden="false" customHeight="true" outlineLevel="0" collapsed="false">
      <c r="A43" s="38" t="s">
        <v>359</v>
      </c>
      <c r="B43" s="39" t="s">
        <v>360</v>
      </c>
      <c r="C43" s="39" t="s">
        <v>361</v>
      </c>
      <c r="D43" s="39" t="s">
        <v>362</v>
      </c>
      <c r="E43" s="39" t="s">
        <v>363</v>
      </c>
      <c r="F43" s="39" t="s">
        <v>128</v>
      </c>
      <c r="G43" s="39" t="s">
        <v>79</v>
      </c>
      <c r="H43" s="39" t="s">
        <v>129</v>
      </c>
      <c r="I43" s="40" t="n">
        <v>45231</v>
      </c>
      <c r="J43" s="40" t="n">
        <v>46279</v>
      </c>
      <c r="K43" s="33" t="n">
        <v>6</v>
      </c>
      <c r="L43" s="34" t="n">
        <v>8010</v>
      </c>
      <c r="M43" s="41" t="n">
        <f aca="false">IFERROR(L43/K43,0)</f>
        <v>1335</v>
      </c>
      <c r="N43" s="39" t="s">
        <v>130</v>
      </c>
      <c r="O43" s="42" t="n">
        <f aca="false">IF(J43="","",AsOfDate-J43)</f>
        <v>16</v>
      </c>
      <c r="P43" s="43" t="str">
        <f aca="false">IF(A43="","",IF(AsOfDate-I43&lt;=90,"New",IF(AND(O43&lt;=180,L43&gt;=15000),"VIP",IF(O43&lt;=180,"Regular",IF(O43&lt;=365,"At risk","Lapsed")))))</f>
        <v>Regular</v>
      </c>
      <c r="Q43" s="43" t="str">
        <f aca="false">IF(D43="","Missing",IF(COUNTIF($D$2:$D$207,D43)&gt;1,"Duplicate",IF(AND(LEN(D43)-LEN(SUBSTITUTE(D43,"@",""))=1,ISNUMBER(SEARCH(".",D43,SEARCH("@",D43))),ISERROR(SEARCH(" ",D43))),"Valid","Invalid")))</f>
        <v>Valid</v>
      </c>
      <c r="R43" s="43" t="str">
        <f aca="false">IF(E43="","Missing",IF(COUNTIF($E$2:$E$207,E43)&gt;1,"Duplicate",IF(AND(LEN(E43)=16,LEFT(E43,5)="+63 9"),"Valid","Check")))</f>
        <v>Valid</v>
      </c>
      <c r="S43" s="43" t="str">
        <f aca="false">IF(AND(Q43="Valid",R43="Valid",N43&lt;&gt;""),"Complete","Needs follow-up")</f>
        <v>Complete</v>
      </c>
      <c r="T43" s="44" t="s">
        <v>364</v>
      </c>
    </row>
    <row r="44" customFormat="false" ht="18.75" hidden="false" customHeight="true" outlineLevel="0" collapsed="false">
      <c r="A44" s="38" t="s">
        <v>365</v>
      </c>
      <c r="B44" s="39" t="s">
        <v>272</v>
      </c>
      <c r="C44" s="39" t="s">
        <v>366</v>
      </c>
      <c r="D44" s="39" t="s">
        <v>367</v>
      </c>
      <c r="E44" s="39" t="s">
        <v>368</v>
      </c>
      <c r="F44" s="39" t="s">
        <v>128</v>
      </c>
      <c r="G44" s="39" t="s">
        <v>79</v>
      </c>
      <c r="H44" s="39" t="s">
        <v>121</v>
      </c>
      <c r="I44" s="40" t="n">
        <v>45239</v>
      </c>
      <c r="J44" s="40" t="n">
        <v>46234</v>
      </c>
      <c r="K44" s="33" t="n">
        <v>7</v>
      </c>
      <c r="L44" s="34" t="n">
        <v>11420</v>
      </c>
      <c r="M44" s="41" t="n">
        <f aca="false">IFERROR(L44/K44,0)</f>
        <v>1631.42857142857</v>
      </c>
      <c r="N44" s="39" t="s">
        <v>151</v>
      </c>
      <c r="O44" s="42" t="n">
        <f aca="false">IF(J44="","",AsOfDate-J44)</f>
        <v>61</v>
      </c>
      <c r="P44" s="43" t="str">
        <f aca="false">IF(A44="","",IF(AsOfDate-I44&lt;=90,"New",IF(AND(O44&lt;=180,L44&gt;=15000),"VIP",IF(O44&lt;=180,"Regular",IF(O44&lt;=365,"At risk","Lapsed")))))</f>
        <v>Regular</v>
      </c>
      <c r="Q44" s="43" t="str">
        <f aca="false">IF(D44="","Missing",IF(COUNTIF($D$2:$D$207,D44)&gt;1,"Duplicate",IF(AND(LEN(D44)-LEN(SUBSTITUTE(D44,"@",""))=1,ISNUMBER(SEARCH(".",D44,SEARCH("@",D44))),ISERROR(SEARCH(" ",D44))),"Valid","Invalid")))</f>
        <v>Valid</v>
      </c>
      <c r="R44" s="43" t="str">
        <f aca="false">IF(E44="","Missing",IF(COUNTIF($E$2:$E$207,E44)&gt;1,"Duplicate",IF(AND(LEN(E44)=16,LEFT(E44,5)="+63 9"),"Valid","Check")))</f>
        <v>Valid</v>
      </c>
      <c r="S44" s="43" t="str">
        <f aca="false">IF(AND(Q44="Valid",R44="Valid",N44&lt;&gt;""),"Complete","Needs follow-up")</f>
        <v>Complete</v>
      </c>
      <c r="T44" s="44" t="s">
        <v>369</v>
      </c>
    </row>
    <row r="45" customFormat="false" ht="18.75" hidden="false" customHeight="true" outlineLevel="0" collapsed="false">
      <c r="A45" s="38" t="s">
        <v>370</v>
      </c>
      <c r="B45" s="39" t="s">
        <v>371</v>
      </c>
      <c r="C45" s="39" t="s">
        <v>141</v>
      </c>
      <c r="D45" s="39" t="s">
        <v>372</v>
      </c>
      <c r="E45" s="39" t="s">
        <v>373</v>
      </c>
      <c r="F45" s="39" t="s">
        <v>170</v>
      </c>
      <c r="G45" s="39" t="s">
        <v>82</v>
      </c>
      <c r="H45" s="39" t="s">
        <v>182</v>
      </c>
      <c r="I45" s="40" t="n">
        <v>45240</v>
      </c>
      <c r="J45" s="40" t="n">
        <v>46022</v>
      </c>
      <c r="K45" s="33" t="n">
        <v>3</v>
      </c>
      <c r="L45" s="34" t="n">
        <v>2700</v>
      </c>
      <c r="M45" s="41" t="n">
        <f aca="false">IFERROR(L45/K45,0)</f>
        <v>900</v>
      </c>
      <c r="N45" s="39" t="s">
        <v>151</v>
      </c>
      <c r="O45" s="42" t="n">
        <f aca="false">IF(J45="","",AsOfDate-J45)</f>
        <v>273</v>
      </c>
      <c r="P45" s="43" t="str">
        <f aca="false">IF(A45="","",IF(AsOfDate-I45&lt;=90,"New",IF(AND(O45&lt;=180,L45&gt;=15000),"VIP",IF(O45&lt;=180,"Regular",IF(O45&lt;=365,"At risk","Lapsed")))))</f>
        <v>At risk</v>
      </c>
      <c r="Q45" s="43" t="str">
        <f aca="false">IF(D45="","Missing",IF(COUNTIF($D$2:$D$207,D45)&gt;1,"Duplicate",IF(AND(LEN(D45)-LEN(SUBSTITUTE(D45,"@",""))=1,ISNUMBER(SEARCH(".",D45,SEARCH("@",D45))),ISERROR(SEARCH(" ",D45))),"Valid","Invalid")))</f>
        <v>Valid</v>
      </c>
      <c r="R45" s="43" t="str">
        <f aca="false">IF(E45="","Missing",IF(COUNTIF($E$2:$E$207,E45)&gt;1,"Duplicate",IF(AND(LEN(E45)=16,LEFT(E45,5)="+63 9"),"Valid","Check")))</f>
        <v>Valid</v>
      </c>
      <c r="S45" s="43" t="str">
        <f aca="false">IF(AND(Q45="Valid",R45="Valid",N45&lt;&gt;""),"Complete","Needs follow-up")</f>
        <v>Complete</v>
      </c>
      <c r="T45" s="44" t="s">
        <v>374</v>
      </c>
    </row>
    <row r="46" customFormat="false" ht="18.75" hidden="false" customHeight="true" outlineLevel="0" collapsed="false">
      <c r="A46" s="38" t="s">
        <v>375</v>
      </c>
      <c r="B46" s="39" t="s">
        <v>376</v>
      </c>
      <c r="C46" s="39" t="s">
        <v>349</v>
      </c>
      <c r="D46" s="39"/>
      <c r="E46" s="39" t="s">
        <v>377</v>
      </c>
      <c r="F46" s="39" t="s">
        <v>128</v>
      </c>
      <c r="G46" s="39" t="s">
        <v>79</v>
      </c>
      <c r="H46" s="39" t="s">
        <v>121</v>
      </c>
      <c r="I46" s="40" t="n">
        <v>45254</v>
      </c>
      <c r="J46" s="40" t="n">
        <v>45559</v>
      </c>
      <c r="K46" s="33" t="n">
        <v>5</v>
      </c>
      <c r="L46" s="34" t="n">
        <v>7580</v>
      </c>
      <c r="M46" s="41" t="n">
        <f aca="false">IFERROR(L46/K46,0)</f>
        <v>1516</v>
      </c>
      <c r="N46" s="39" t="s">
        <v>151</v>
      </c>
      <c r="O46" s="42" t="n">
        <f aca="false">IF(J46="","",AsOfDate-J46)</f>
        <v>736</v>
      </c>
      <c r="P46" s="43" t="str">
        <f aca="false">IF(A46="","",IF(AsOfDate-I46&lt;=90,"New",IF(AND(O46&lt;=180,L46&gt;=15000),"VIP",IF(O46&lt;=180,"Regular",IF(O46&lt;=365,"At risk","Lapsed")))))</f>
        <v>Lapsed</v>
      </c>
      <c r="Q46" s="43" t="str">
        <f aca="false">IF(D46="","Missing",IF(COUNTIF($D$2:$D$207,D46)&gt;1,"Duplicate",IF(AND(LEN(D46)-LEN(SUBSTITUTE(D46,"@",""))=1,ISNUMBER(SEARCH(".",D46,SEARCH("@",D46))),ISERROR(SEARCH(" ",D46))),"Valid","Invalid")))</f>
        <v>Missing</v>
      </c>
      <c r="R46" s="43" t="str">
        <f aca="false">IF(E46="","Missing",IF(COUNTIF($E$2:$E$207,E46)&gt;1,"Duplicate",IF(AND(LEN(E46)=16,LEFT(E46,5)="+63 9"),"Valid","Check")))</f>
        <v>Valid</v>
      </c>
      <c r="S46" s="43" t="str">
        <f aca="false">IF(AND(Q46="Valid",R46="Valid",N46&lt;&gt;""),"Complete","Needs follow-up")</f>
        <v>Needs follow-up</v>
      </c>
      <c r="T46" s="44" t="s">
        <v>378</v>
      </c>
    </row>
    <row r="47" customFormat="false" ht="18.75" hidden="false" customHeight="true" outlineLevel="0" collapsed="false">
      <c r="A47" s="38" t="s">
        <v>379</v>
      </c>
      <c r="B47" s="39" t="s">
        <v>327</v>
      </c>
      <c r="C47" s="39" t="s">
        <v>267</v>
      </c>
      <c r="D47" s="39" t="s">
        <v>380</v>
      </c>
      <c r="E47" s="39" t="s">
        <v>381</v>
      </c>
      <c r="F47" s="39" t="s">
        <v>128</v>
      </c>
      <c r="G47" s="39" t="s">
        <v>79</v>
      </c>
      <c r="H47" s="39" t="s">
        <v>285</v>
      </c>
      <c r="I47" s="40" t="n">
        <v>45254</v>
      </c>
      <c r="J47" s="40" t="n">
        <v>46201</v>
      </c>
      <c r="K47" s="33" t="n">
        <v>7</v>
      </c>
      <c r="L47" s="34" t="n">
        <v>5110</v>
      </c>
      <c r="M47" s="41" t="n">
        <f aca="false">IFERROR(L47/K47,0)</f>
        <v>730</v>
      </c>
      <c r="N47" s="39" t="s">
        <v>151</v>
      </c>
      <c r="O47" s="42" t="n">
        <f aca="false">IF(J47="","",AsOfDate-J47)</f>
        <v>94</v>
      </c>
      <c r="P47" s="43" t="str">
        <f aca="false">IF(A47="","",IF(AsOfDate-I47&lt;=90,"New",IF(AND(O47&lt;=180,L47&gt;=15000),"VIP",IF(O47&lt;=180,"Regular",IF(O47&lt;=365,"At risk","Lapsed")))))</f>
        <v>Regular</v>
      </c>
      <c r="Q47" s="43" t="str">
        <f aca="false">IF(D47="","Missing",IF(COUNTIF($D$2:$D$207,D47)&gt;1,"Duplicate",IF(AND(LEN(D47)-LEN(SUBSTITUTE(D47,"@",""))=1,ISNUMBER(SEARCH(".",D47,SEARCH("@",D47))),ISERROR(SEARCH(" ",D47))),"Valid","Invalid")))</f>
        <v>Valid</v>
      </c>
      <c r="R47" s="43" t="str">
        <f aca="false">IF(E47="","Missing",IF(COUNTIF($E$2:$E$207,E47)&gt;1,"Duplicate",IF(AND(LEN(E47)=16,LEFT(E47,5)="+63 9"),"Valid","Check")))</f>
        <v>Valid</v>
      </c>
      <c r="S47" s="43" t="str">
        <f aca="false">IF(AND(Q47="Valid",R47="Valid",N47&lt;&gt;""),"Complete","Needs follow-up")</f>
        <v>Complete</v>
      </c>
      <c r="T47" s="44" t="s">
        <v>382</v>
      </c>
    </row>
    <row r="48" customFormat="false" ht="18.75" hidden="false" customHeight="true" outlineLevel="0" collapsed="false">
      <c r="A48" s="38" t="s">
        <v>383</v>
      </c>
      <c r="B48" s="39" t="s">
        <v>384</v>
      </c>
      <c r="C48" s="39" t="s">
        <v>236</v>
      </c>
      <c r="D48" s="39" t="s">
        <v>385</v>
      </c>
      <c r="E48" s="39" t="s">
        <v>386</v>
      </c>
      <c r="F48" s="39" t="s">
        <v>128</v>
      </c>
      <c r="G48" s="39" t="s">
        <v>79</v>
      </c>
      <c r="H48" s="39" t="s">
        <v>129</v>
      </c>
      <c r="I48" s="40" t="n">
        <v>45256</v>
      </c>
      <c r="J48" s="40" t="n">
        <v>46253</v>
      </c>
      <c r="K48" s="33" t="n">
        <v>9</v>
      </c>
      <c r="L48" s="34" t="n">
        <v>7940</v>
      </c>
      <c r="M48" s="41" t="n">
        <f aca="false">IFERROR(L48/K48,0)</f>
        <v>882.222222222222</v>
      </c>
      <c r="N48" s="39" t="s">
        <v>151</v>
      </c>
      <c r="O48" s="42" t="n">
        <f aca="false">IF(J48="","",AsOfDate-J48)</f>
        <v>42</v>
      </c>
      <c r="P48" s="43" t="str">
        <f aca="false">IF(A48="","",IF(AsOfDate-I48&lt;=90,"New",IF(AND(O48&lt;=180,L48&gt;=15000),"VIP",IF(O48&lt;=180,"Regular",IF(O48&lt;=365,"At risk","Lapsed")))))</f>
        <v>Regular</v>
      </c>
      <c r="Q48" s="43" t="str">
        <f aca="false">IF(D48="","Missing",IF(COUNTIF($D$2:$D$207,D48)&gt;1,"Duplicate",IF(AND(LEN(D48)-LEN(SUBSTITUTE(D48,"@",""))=1,ISNUMBER(SEARCH(".",D48,SEARCH("@",D48))),ISERROR(SEARCH(" ",D48))),"Valid","Invalid")))</f>
        <v>Valid</v>
      </c>
      <c r="R48" s="43" t="str">
        <f aca="false">IF(E48="","Missing",IF(COUNTIF($E$2:$E$207,E48)&gt;1,"Duplicate",IF(AND(LEN(E48)=16,LEFT(E48,5)="+63 9"),"Valid","Check")))</f>
        <v>Valid</v>
      </c>
      <c r="S48" s="43" t="str">
        <f aca="false">IF(AND(Q48="Valid",R48="Valid",N48&lt;&gt;""),"Complete","Needs follow-up")</f>
        <v>Complete</v>
      </c>
      <c r="T48" s="44" t="s">
        <v>387</v>
      </c>
    </row>
    <row r="49" customFormat="false" ht="18.75" hidden="false" customHeight="true" outlineLevel="0" collapsed="false">
      <c r="A49" s="38" t="s">
        <v>388</v>
      </c>
      <c r="B49" s="39" t="s">
        <v>315</v>
      </c>
      <c r="C49" s="39" t="s">
        <v>389</v>
      </c>
      <c r="D49" s="39" t="s">
        <v>390</v>
      </c>
      <c r="E49" s="39" t="s">
        <v>391</v>
      </c>
      <c r="F49" s="39" t="s">
        <v>128</v>
      </c>
      <c r="G49" s="39" t="s">
        <v>79</v>
      </c>
      <c r="H49" s="39" t="s">
        <v>129</v>
      </c>
      <c r="I49" s="40" t="n">
        <v>45256</v>
      </c>
      <c r="J49" s="40" t="n">
        <v>45256</v>
      </c>
      <c r="K49" s="33" t="n">
        <v>1</v>
      </c>
      <c r="L49" s="34" t="n">
        <v>930</v>
      </c>
      <c r="M49" s="41" t="n">
        <f aca="false">IFERROR(L49/K49,0)</f>
        <v>930</v>
      </c>
      <c r="N49" s="39" t="s">
        <v>151</v>
      </c>
      <c r="O49" s="42" t="n">
        <f aca="false">IF(J49="","",AsOfDate-J49)</f>
        <v>1039</v>
      </c>
      <c r="P49" s="43" t="str">
        <f aca="false">IF(A49="","",IF(AsOfDate-I49&lt;=90,"New",IF(AND(O49&lt;=180,L49&gt;=15000),"VIP",IF(O49&lt;=180,"Regular",IF(O49&lt;=365,"At risk","Lapsed")))))</f>
        <v>Lapsed</v>
      </c>
      <c r="Q49" s="43" t="str">
        <f aca="false">IF(D49="","Missing",IF(COUNTIF($D$2:$D$207,D49)&gt;1,"Duplicate",IF(AND(LEN(D49)-LEN(SUBSTITUTE(D49,"@",""))=1,ISNUMBER(SEARCH(".",D49,SEARCH("@",D49))),ISERROR(SEARCH(" ",D49))),"Valid","Invalid")))</f>
        <v>Valid</v>
      </c>
      <c r="R49" s="43" t="str">
        <f aca="false">IF(E49="","Missing",IF(COUNTIF($E$2:$E$207,E49)&gt;1,"Duplicate",IF(AND(LEN(E49)=16,LEFT(E49,5)="+63 9"),"Valid","Check")))</f>
        <v>Valid</v>
      </c>
      <c r="S49" s="43" t="str">
        <f aca="false">IF(AND(Q49="Valid",R49="Valid",N49&lt;&gt;""),"Complete","Needs follow-up")</f>
        <v>Complete</v>
      </c>
      <c r="T49" s="44" t="s">
        <v>392</v>
      </c>
    </row>
    <row r="50" customFormat="false" ht="18.75" hidden="false" customHeight="true" outlineLevel="0" collapsed="false">
      <c r="A50" s="38" t="s">
        <v>393</v>
      </c>
      <c r="B50" s="39" t="s">
        <v>394</v>
      </c>
      <c r="C50" s="39" t="s">
        <v>395</v>
      </c>
      <c r="D50" s="39" t="s">
        <v>396</v>
      </c>
      <c r="E50" s="39" t="s">
        <v>397</v>
      </c>
      <c r="F50" s="39" t="s">
        <v>150</v>
      </c>
      <c r="G50" s="39" t="s">
        <v>80</v>
      </c>
      <c r="H50" s="39" t="s">
        <v>129</v>
      </c>
      <c r="I50" s="40" t="n">
        <v>45265</v>
      </c>
      <c r="J50" s="40" t="n">
        <v>46258</v>
      </c>
      <c r="K50" s="33" t="n">
        <v>31</v>
      </c>
      <c r="L50" s="34" t="n">
        <v>35150</v>
      </c>
      <c r="M50" s="41" t="n">
        <f aca="false">IFERROR(L50/K50,0)</f>
        <v>1133.87096774194</v>
      </c>
      <c r="N50" s="39" t="s">
        <v>151</v>
      </c>
      <c r="O50" s="42" t="n">
        <f aca="false">IF(J50="","",AsOfDate-J50)</f>
        <v>37</v>
      </c>
      <c r="P50" s="43" t="str">
        <f aca="false">IF(A50="","",IF(AsOfDate-I50&lt;=90,"New",IF(AND(O50&lt;=180,L50&gt;=15000),"VIP",IF(O50&lt;=180,"Regular",IF(O50&lt;=365,"At risk","Lapsed")))))</f>
        <v>VIP</v>
      </c>
      <c r="Q50" s="43" t="str">
        <f aca="false">IF(D50="","Missing",IF(COUNTIF($D$2:$D$207,D50)&gt;1,"Duplicate",IF(AND(LEN(D50)-LEN(SUBSTITUTE(D50,"@",""))=1,ISNUMBER(SEARCH(".",D50,SEARCH("@",D50))),ISERROR(SEARCH(" ",D50))),"Valid","Invalid")))</f>
        <v>Valid</v>
      </c>
      <c r="R50" s="43" t="str">
        <f aca="false">IF(E50="","Missing",IF(COUNTIF($E$2:$E$207,E50)&gt;1,"Duplicate",IF(AND(LEN(E50)=16,LEFT(E50,5)="+63 9"),"Valid","Check")))</f>
        <v>Valid</v>
      </c>
      <c r="S50" s="43" t="str">
        <f aca="false">IF(AND(Q50="Valid",R50="Valid",N50&lt;&gt;""),"Complete","Needs follow-up")</f>
        <v>Complete</v>
      </c>
      <c r="T50" s="44" t="s">
        <v>398</v>
      </c>
    </row>
    <row r="51" customFormat="false" ht="18.75" hidden="false" customHeight="true" outlineLevel="0" collapsed="false">
      <c r="A51" s="38" t="s">
        <v>399</v>
      </c>
      <c r="B51" s="39" t="s">
        <v>400</v>
      </c>
      <c r="C51" s="39" t="s">
        <v>401</v>
      </c>
      <c r="D51" s="39" t="s">
        <v>402</v>
      </c>
      <c r="E51" s="39" t="s">
        <v>403</v>
      </c>
      <c r="F51" s="39" t="s">
        <v>128</v>
      </c>
      <c r="G51" s="39" t="s">
        <v>79</v>
      </c>
      <c r="H51" s="39" t="s">
        <v>129</v>
      </c>
      <c r="I51" s="40" t="n">
        <v>45273</v>
      </c>
      <c r="J51" s="40" t="n">
        <v>45687</v>
      </c>
      <c r="K51" s="33" t="n">
        <v>2</v>
      </c>
      <c r="L51" s="34" t="n">
        <v>3250</v>
      </c>
      <c r="M51" s="41" t="n">
        <f aca="false">IFERROR(L51/K51,0)</f>
        <v>1625</v>
      </c>
      <c r="N51" s="39" t="s">
        <v>151</v>
      </c>
      <c r="O51" s="42" t="n">
        <f aca="false">IF(J51="","",AsOfDate-J51)</f>
        <v>608</v>
      </c>
      <c r="P51" s="43" t="str">
        <f aca="false">IF(A51="","",IF(AsOfDate-I51&lt;=90,"New",IF(AND(O51&lt;=180,L51&gt;=15000),"VIP",IF(O51&lt;=180,"Regular",IF(O51&lt;=365,"At risk","Lapsed")))))</f>
        <v>Lapsed</v>
      </c>
      <c r="Q51" s="43" t="str">
        <f aca="false">IF(D51="","Missing",IF(COUNTIF($D$2:$D$207,D51)&gt;1,"Duplicate",IF(AND(LEN(D51)-LEN(SUBSTITUTE(D51,"@",""))=1,ISNUMBER(SEARCH(".",D51,SEARCH("@",D51))),ISERROR(SEARCH(" ",D51))),"Valid","Invalid")))</f>
        <v>Valid</v>
      </c>
      <c r="R51" s="43" t="str">
        <f aca="false">IF(E51="","Missing",IF(COUNTIF($E$2:$E$207,E51)&gt;1,"Duplicate",IF(AND(LEN(E51)=16,LEFT(E51,5)="+63 9"),"Valid","Check")))</f>
        <v>Valid</v>
      </c>
      <c r="S51" s="43" t="str">
        <f aca="false">IF(AND(Q51="Valid",R51="Valid",N51&lt;&gt;""),"Complete","Needs follow-up")</f>
        <v>Complete</v>
      </c>
      <c r="T51" s="44" t="s">
        <v>404</v>
      </c>
    </row>
    <row r="52" customFormat="false" ht="18.75" hidden="false" customHeight="true" outlineLevel="0" collapsed="false">
      <c r="A52" s="38" t="s">
        <v>405</v>
      </c>
      <c r="B52" s="39" t="s">
        <v>406</v>
      </c>
      <c r="C52" s="39" t="s">
        <v>407</v>
      </c>
      <c r="D52" s="39" t="s">
        <v>408</v>
      </c>
      <c r="E52" s="39" t="s">
        <v>409</v>
      </c>
      <c r="F52" s="39" t="s">
        <v>128</v>
      </c>
      <c r="G52" s="39" t="s">
        <v>79</v>
      </c>
      <c r="H52" s="39" t="s">
        <v>164</v>
      </c>
      <c r="I52" s="40" t="n">
        <v>45278</v>
      </c>
      <c r="J52" s="40" t="n">
        <v>45696</v>
      </c>
      <c r="K52" s="33" t="n">
        <v>2</v>
      </c>
      <c r="L52" s="34" t="n">
        <v>2760</v>
      </c>
      <c r="M52" s="41" t="n">
        <f aca="false">IFERROR(L52/K52,0)</f>
        <v>1380</v>
      </c>
      <c r="N52" s="39" t="s">
        <v>130</v>
      </c>
      <c r="O52" s="42" t="n">
        <f aca="false">IF(J52="","",AsOfDate-J52)</f>
        <v>599</v>
      </c>
      <c r="P52" s="43" t="str">
        <f aca="false">IF(A52="","",IF(AsOfDate-I52&lt;=90,"New",IF(AND(O52&lt;=180,L52&gt;=15000),"VIP",IF(O52&lt;=180,"Regular",IF(O52&lt;=365,"At risk","Lapsed")))))</f>
        <v>Lapsed</v>
      </c>
      <c r="Q52" s="43" t="str">
        <f aca="false">IF(D52="","Missing",IF(COUNTIF($D$2:$D$207,D52)&gt;1,"Duplicate",IF(AND(LEN(D52)-LEN(SUBSTITUTE(D52,"@",""))=1,ISNUMBER(SEARCH(".",D52,SEARCH("@",D52))),ISERROR(SEARCH(" ",D52))),"Valid","Invalid")))</f>
        <v>Valid</v>
      </c>
      <c r="R52" s="43" t="str">
        <f aca="false">IF(E52="","Missing",IF(COUNTIF($E$2:$E$207,E52)&gt;1,"Duplicate",IF(AND(LEN(E52)=16,LEFT(E52,5)="+63 9"),"Valid","Check")))</f>
        <v>Valid</v>
      </c>
      <c r="S52" s="43" t="str">
        <f aca="false">IF(AND(Q52="Valid",R52="Valid",N52&lt;&gt;""),"Complete","Needs follow-up")</f>
        <v>Complete</v>
      </c>
      <c r="T52" s="44" t="s">
        <v>410</v>
      </c>
    </row>
    <row r="53" customFormat="false" ht="18.75" hidden="false" customHeight="true" outlineLevel="0" collapsed="false">
      <c r="A53" s="38" t="s">
        <v>411</v>
      </c>
      <c r="B53" s="39" t="s">
        <v>371</v>
      </c>
      <c r="C53" s="39" t="s">
        <v>173</v>
      </c>
      <c r="D53" s="39"/>
      <c r="E53" s="39" t="s">
        <v>412</v>
      </c>
      <c r="F53" s="39" t="s">
        <v>163</v>
      </c>
      <c r="G53" s="39" t="s">
        <v>79</v>
      </c>
      <c r="H53" s="39" t="s">
        <v>164</v>
      </c>
      <c r="I53" s="40" t="n">
        <v>45278</v>
      </c>
      <c r="J53" s="40" t="n">
        <v>46041</v>
      </c>
      <c r="K53" s="33" t="n">
        <v>9</v>
      </c>
      <c r="L53" s="34" t="n">
        <v>14480</v>
      </c>
      <c r="M53" s="41" t="n">
        <f aca="false">IFERROR(L53/K53,0)</f>
        <v>1608.88888888889</v>
      </c>
      <c r="N53" s="39" t="s">
        <v>151</v>
      </c>
      <c r="O53" s="42" t="n">
        <f aca="false">IF(J53="","",AsOfDate-J53)</f>
        <v>254</v>
      </c>
      <c r="P53" s="43" t="str">
        <f aca="false">IF(A53="","",IF(AsOfDate-I53&lt;=90,"New",IF(AND(O53&lt;=180,L53&gt;=15000),"VIP",IF(O53&lt;=180,"Regular",IF(O53&lt;=365,"At risk","Lapsed")))))</f>
        <v>At risk</v>
      </c>
      <c r="Q53" s="43" t="str">
        <f aca="false">IF(D53="","Missing",IF(COUNTIF($D$2:$D$207,D53)&gt;1,"Duplicate",IF(AND(LEN(D53)-LEN(SUBSTITUTE(D53,"@",""))=1,ISNUMBER(SEARCH(".",D53,SEARCH("@",D53))),ISERROR(SEARCH(" ",D53))),"Valid","Invalid")))</f>
        <v>Missing</v>
      </c>
      <c r="R53" s="43" t="str">
        <f aca="false">IF(E53="","Missing",IF(COUNTIF($E$2:$E$207,E53)&gt;1,"Duplicate",IF(AND(LEN(E53)=16,LEFT(E53,5)="+63 9"),"Valid","Check")))</f>
        <v>Valid</v>
      </c>
      <c r="S53" s="43" t="str">
        <f aca="false">IF(AND(Q53="Valid",R53="Valid",N53&lt;&gt;""),"Complete","Needs follow-up")</f>
        <v>Needs follow-up</v>
      </c>
      <c r="T53" s="44" t="s">
        <v>413</v>
      </c>
    </row>
    <row r="54" customFormat="false" ht="18.75" hidden="false" customHeight="true" outlineLevel="0" collapsed="false">
      <c r="A54" s="38" t="s">
        <v>414</v>
      </c>
      <c r="B54" s="39" t="s">
        <v>415</v>
      </c>
      <c r="C54" s="39" t="s">
        <v>236</v>
      </c>
      <c r="D54" s="39" t="s">
        <v>416</v>
      </c>
      <c r="E54" s="39" t="s">
        <v>417</v>
      </c>
      <c r="F54" s="39" t="s">
        <v>150</v>
      </c>
      <c r="G54" s="39" t="s">
        <v>80</v>
      </c>
      <c r="H54" s="39" t="s">
        <v>164</v>
      </c>
      <c r="I54" s="40" t="n">
        <v>45282</v>
      </c>
      <c r="J54" s="40" t="n">
        <v>45282</v>
      </c>
      <c r="K54" s="33" t="n">
        <v>1</v>
      </c>
      <c r="L54" s="34" t="n">
        <v>1430</v>
      </c>
      <c r="M54" s="41" t="n">
        <f aca="false">IFERROR(L54/K54,0)</f>
        <v>1430</v>
      </c>
      <c r="N54" s="39" t="s">
        <v>130</v>
      </c>
      <c r="O54" s="42" t="n">
        <f aca="false">IF(J54="","",AsOfDate-J54)</f>
        <v>1013</v>
      </c>
      <c r="P54" s="43" t="str">
        <f aca="false">IF(A54="","",IF(AsOfDate-I54&lt;=90,"New",IF(AND(O54&lt;=180,L54&gt;=15000),"VIP",IF(O54&lt;=180,"Regular",IF(O54&lt;=365,"At risk","Lapsed")))))</f>
        <v>Lapsed</v>
      </c>
      <c r="Q54" s="43" t="str">
        <f aca="false">IF(D54="","Missing",IF(COUNTIF($D$2:$D$207,D54)&gt;1,"Duplicate",IF(AND(LEN(D54)-LEN(SUBSTITUTE(D54,"@",""))=1,ISNUMBER(SEARCH(".",D54,SEARCH("@",D54))),ISERROR(SEARCH(" ",D54))),"Valid","Invalid")))</f>
        <v>Valid</v>
      </c>
      <c r="R54" s="43" t="str">
        <f aca="false">IF(E54="","Missing",IF(COUNTIF($E$2:$E$207,E54)&gt;1,"Duplicate",IF(AND(LEN(E54)=16,LEFT(E54,5)="+63 9"),"Valid","Check")))</f>
        <v>Valid</v>
      </c>
      <c r="S54" s="43" t="str">
        <f aca="false">IF(AND(Q54="Valid",R54="Valid",N54&lt;&gt;""),"Complete","Needs follow-up")</f>
        <v>Complete</v>
      </c>
      <c r="T54" s="44" t="s">
        <v>418</v>
      </c>
    </row>
    <row r="55" customFormat="false" ht="18.75" hidden="false" customHeight="true" outlineLevel="0" collapsed="false">
      <c r="A55" s="38" t="s">
        <v>419</v>
      </c>
      <c r="B55" s="39" t="s">
        <v>420</v>
      </c>
      <c r="C55" s="39" t="s">
        <v>179</v>
      </c>
      <c r="D55" s="39" t="s">
        <v>421</v>
      </c>
      <c r="E55" s="39" t="s">
        <v>422</v>
      </c>
      <c r="F55" s="39" t="s">
        <v>137</v>
      </c>
      <c r="G55" s="39" t="s">
        <v>83</v>
      </c>
      <c r="H55" s="39" t="s">
        <v>285</v>
      </c>
      <c r="I55" s="40" t="n">
        <v>45286</v>
      </c>
      <c r="J55" s="40" t="n">
        <v>46222</v>
      </c>
      <c r="K55" s="33" t="n">
        <v>7</v>
      </c>
      <c r="L55" s="34" t="n">
        <v>12920</v>
      </c>
      <c r="M55" s="41" t="n">
        <f aca="false">IFERROR(L55/K55,0)</f>
        <v>1845.71428571429</v>
      </c>
      <c r="N55" s="39" t="s">
        <v>151</v>
      </c>
      <c r="O55" s="42" t="n">
        <f aca="false">IF(J55="","",AsOfDate-J55)</f>
        <v>73</v>
      </c>
      <c r="P55" s="43" t="str">
        <f aca="false">IF(A55="","",IF(AsOfDate-I55&lt;=90,"New",IF(AND(O55&lt;=180,L55&gt;=15000),"VIP",IF(O55&lt;=180,"Regular",IF(O55&lt;=365,"At risk","Lapsed")))))</f>
        <v>Regular</v>
      </c>
      <c r="Q55" s="43" t="str">
        <f aca="false">IF(D55="","Missing",IF(COUNTIF($D$2:$D$207,D55)&gt;1,"Duplicate",IF(AND(LEN(D55)-LEN(SUBSTITUTE(D55,"@",""))=1,ISNUMBER(SEARCH(".",D55,SEARCH("@",D55))),ISERROR(SEARCH(" ",D55))),"Valid","Invalid")))</f>
        <v>Valid</v>
      </c>
      <c r="R55" s="43" t="str">
        <f aca="false">IF(E55="","Missing",IF(COUNTIF($E$2:$E$207,E55)&gt;1,"Duplicate",IF(AND(LEN(E55)=16,LEFT(E55,5)="+63 9"),"Valid","Check")))</f>
        <v>Valid</v>
      </c>
      <c r="S55" s="43" t="str">
        <f aca="false">IF(AND(Q55="Valid",R55="Valid",N55&lt;&gt;""),"Complete","Needs follow-up")</f>
        <v>Complete</v>
      </c>
      <c r="T55" s="44" t="s">
        <v>423</v>
      </c>
    </row>
    <row r="56" customFormat="false" ht="18.75" hidden="false" customHeight="true" outlineLevel="0" collapsed="false">
      <c r="A56" s="38" t="s">
        <v>424</v>
      </c>
      <c r="B56" s="39" t="s">
        <v>425</v>
      </c>
      <c r="C56" s="39" t="s">
        <v>426</v>
      </c>
      <c r="D56" s="39"/>
      <c r="E56" s="39" t="s">
        <v>427</v>
      </c>
      <c r="F56" s="39" t="s">
        <v>150</v>
      </c>
      <c r="G56" s="39" t="s">
        <v>80</v>
      </c>
      <c r="H56" s="39" t="s">
        <v>164</v>
      </c>
      <c r="I56" s="40" t="n">
        <v>45295</v>
      </c>
      <c r="J56" s="40" t="n">
        <v>46000</v>
      </c>
      <c r="K56" s="33" t="n">
        <v>4</v>
      </c>
      <c r="L56" s="34" t="n">
        <v>4590</v>
      </c>
      <c r="M56" s="41" t="n">
        <f aca="false">IFERROR(L56/K56,0)</f>
        <v>1147.5</v>
      </c>
      <c r="N56" s="39" t="s">
        <v>151</v>
      </c>
      <c r="O56" s="42" t="n">
        <f aca="false">IF(J56="","",AsOfDate-J56)</f>
        <v>295</v>
      </c>
      <c r="P56" s="43" t="str">
        <f aca="false">IF(A56="","",IF(AsOfDate-I56&lt;=90,"New",IF(AND(O56&lt;=180,L56&gt;=15000),"VIP",IF(O56&lt;=180,"Regular",IF(O56&lt;=365,"At risk","Lapsed")))))</f>
        <v>At risk</v>
      </c>
      <c r="Q56" s="43" t="str">
        <f aca="false">IF(D56="","Missing",IF(COUNTIF($D$2:$D$207,D56)&gt;1,"Duplicate",IF(AND(LEN(D56)-LEN(SUBSTITUTE(D56,"@",""))=1,ISNUMBER(SEARCH(".",D56,SEARCH("@",D56))),ISERROR(SEARCH(" ",D56))),"Valid","Invalid")))</f>
        <v>Missing</v>
      </c>
      <c r="R56" s="43" t="str">
        <f aca="false">IF(E56="","Missing",IF(COUNTIF($E$2:$E$207,E56)&gt;1,"Duplicate",IF(AND(LEN(E56)=16,LEFT(E56,5)="+63 9"),"Valid","Check")))</f>
        <v>Valid</v>
      </c>
      <c r="S56" s="43" t="str">
        <f aca="false">IF(AND(Q56="Valid",R56="Valid",N56&lt;&gt;""),"Complete","Needs follow-up")</f>
        <v>Needs follow-up</v>
      </c>
      <c r="T56" s="44" t="s">
        <v>428</v>
      </c>
    </row>
    <row r="57" customFormat="false" ht="18.75" hidden="false" customHeight="true" outlineLevel="0" collapsed="false">
      <c r="A57" s="38" t="s">
        <v>429</v>
      </c>
      <c r="B57" s="39" t="s">
        <v>160</v>
      </c>
      <c r="C57" s="39" t="s">
        <v>430</v>
      </c>
      <c r="D57" s="39"/>
      <c r="E57" s="39" t="s">
        <v>431</v>
      </c>
      <c r="F57" s="39" t="s">
        <v>128</v>
      </c>
      <c r="G57" s="39" t="s">
        <v>79</v>
      </c>
      <c r="H57" s="39" t="s">
        <v>121</v>
      </c>
      <c r="I57" s="40" t="n">
        <v>45297</v>
      </c>
      <c r="J57" s="40" t="n">
        <v>46005</v>
      </c>
      <c r="K57" s="33" t="n">
        <v>2</v>
      </c>
      <c r="L57" s="34" t="n">
        <v>3740</v>
      </c>
      <c r="M57" s="41" t="n">
        <f aca="false">IFERROR(L57/K57,0)</f>
        <v>1870</v>
      </c>
      <c r="N57" s="39" t="s">
        <v>151</v>
      </c>
      <c r="O57" s="42" t="n">
        <f aca="false">IF(J57="","",AsOfDate-J57)</f>
        <v>290</v>
      </c>
      <c r="P57" s="43" t="str">
        <f aca="false">IF(A57="","",IF(AsOfDate-I57&lt;=90,"New",IF(AND(O57&lt;=180,L57&gt;=15000),"VIP",IF(O57&lt;=180,"Regular",IF(O57&lt;=365,"At risk","Lapsed")))))</f>
        <v>At risk</v>
      </c>
      <c r="Q57" s="43" t="str">
        <f aca="false">IF(D57="","Missing",IF(COUNTIF($D$2:$D$207,D57)&gt;1,"Duplicate",IF(AND(LEN(D57)-LEN(SUBSTITUTE(D57,"@",""))=1,ISNUMBER(SEARCH(".",D57,SEARCH("@",D57))),ISERROR(SEARCH(" ",D57))),"Valid","Invalid")))</f>
        <v>Missing</v>
      </c>
      <c r="R57" s="43" t="str">
        <f aca="false">IF(E57="","Missing",IF(COUNTIF($E$2:$E$207,E57)&gt;1,"Duplicate",IF(AND(LEN(E57)=16,LEFT(E57,5)="+63 9"),"Valid","Check")))</f>
        <v>Valid</v>
      </c>
      <c r="S57" s="43" t="str">
        <f aca="false">IF(AND(Q57="Valid",R57="Valid",N57&lt;&gt;""),"Complete","Needs follow-up")</f>
        <v>Needs follow-up</v>
      </c>
      <c r="T57" s="44" t="s">
        <v>432</v>
      </c>
    </row>
    <row r="58" customFormat="false" ht="18.75" hidden="false" customHeight="true" outlineLevel="0" collapsed="false">
      <c r="A58" s="38" t="s">
        <v>433</v>
      </c>
      <c r="B58" s="39" t="s">
        <v>434</v>
      </c>
      <c r="C58" s="39" t="s">
        <v>435</v>
      </c>
      <c r="D58" s="39" t="s">
        <v>436</v>
      </c>
      <c r="E58" s="39" t="s">
        <v>437</v>
      </c>
      <c r="F58" s="39" t="s">
        <v>128</v>
      </c>
      <c r="G58" s="39" t="s">
        <v>79</v>
      </c>
      <c r="H58" s="39" t="s">
        <v>164</v>
      </c>
      <c r="I58" s="40" t="n">
        <v>45304</v>
      </c>
      <c r="J58" s="40" t="n">
        <v>46247</v>
      </c>
      <c r="K58" s="33" t="n">
        <v>4</v>
      </c>
      <c r="L58" s="34" t="n">
        <v>7230</v>
      </c>
      <c r="M58" s="41" t="n">
        <f aca="false">IFERROR(L58/K58,0)</f>
        <v>1807.5</v>
      </c>
      <c r="N58" s="39" t="s">
        <v>151</v>
      </c>
      <c r="O58" s="42" t="n">
        <f aca="false">IF(J58="","",AsOfDate-J58)</f>
        <v>48</v>
      </c>
      <c r="P58" s="43" t="str">
        <f aca="false">IF(A58="","",IF(AsOfDate-I58&lt;=90,"New",IF(AND(O58&lt;=180,L58&gt;=15000),"VIP",IF(O58&lt;=180,"Regular",IF(O58&lt;=365,"At risk","Lapsed")))))</f>
        <v>Regular</v>
      </c>
      <c r="Q58" s="43" t="str">
        <f aca="false">IF(D58="","Missing",IF(COUNTIF($D$2:$D$207,D58)&gt;1,"Duplicate",IF(AND(LEN(D58)-LEN(SUBSTITUTE(D58,"@",""))=1,ISNUMBER(SEARCH(".",D58,SEARCH("@",D58))),ISERROR(SEARCH(" ",D58))),"Valid","Invalid")))</f>
        <v>Valid</v>
      </c>
      <c r="R58" s="43" t="str">
        <f aca="false">IF(E58="","Missing",IF(COUNTIF($E$2:$E$207,E58)&gt;1,"Duplicate",IF(AND(LEN(E58)=16,LEFT(E58,5)="+63 9"),"Valid","Check")))</f>
        <v>Valid</v>
      </c>
      <c r="S58" s="43" t="str">
        <f aca="false">IF(AND(Q58="Valid",R58="Valid",N58&lt;&gt;""),"Complete","Needs follow-up")</f>
        <v>Complete</v>
      </c>
      <c r="T58" s="44" t="s">
        <v>438</v>
      </c>
    </row>
    <row r="59" customFormat="false" ht="18.75" hidden="false" customHeight="true" outlineLevel="0" collapsed="false">
      <c r="A59" s="38" t="s">
        <v>439</v>
      </c>
      <c r="B59" s="39" t="s">
        <v>220</v>
      </c>
      <c r="C59" s="39" t="s">
        <v>155</v>
      </c>
      <c r="D59" s="39" t="s">
        <v>440</v>
      </c>
      <c r="E59" s="39" t="s">
        <v>441</v>
      </c>
      <c r="F59" s="39" t="s">
        <v>163</v>
      </c>
      <c r="G59" s="39" t="s">
        <v>79</v>
      </c>
      <c r="H59" s="39" t="s">
        <v>129</v>
      </c>
      <c r="I59" s="40" t="n">
        <v>45307</v>
      </c>
      <c r="J59" s="40" t="n">
        <v>45805</v>
      </c>
      <c r="K59" s="33" t="n">
        <v>5</v>
      </c>
      <c r="L59" s="34" t="n">
        <v>7200</v>
      </c>
      <c r="M59" s="41" t="n">
        <f aca="false">IFERROR(L59/K59,0)</f>
        <v>1440</v>
      </c>
      <c r="N59" s="39" t="s">
        <v>151</v>
      </c>
      <c r="O59" s="42" t="n">
        <f aca="false">IF(J59="","",AsOfDate-J59)</f>
        <v>490</v>
      </c>
      <c r="P59" s="43" t="str">
        <f aca="false">IF(A59="","",IF(AsOfDate-I59&lt;=90,"New",IF(AND(O59&lt;=180,L59&gt;=15000),"VIP",IF(O59&lt;=180,"Regular",IF(O59&lt;=365,"At risk","Lapsed")))))</f>
        <v>Lapsed</v>
      </c>
      <c r="Q59" s="43" t="str">
        <f aca="false">IF(D59="","Missing",IF(COUNTIF($D$2:$D$207,D59)&gt;1,"Duplicate",IF(AND(LEN(D59)-LEN(SUBSTITUTE(D59,"@",""))=1,ISNUMBER(SEARCH(".",D59,SEARCH("@",D59))),ISERROR(SEARCH(" ",D59))),"Valid","Invalid")))</f>
        <v>Valid</v>
      </c>
      <c r="R59" s="43" t="str">
        <f aca="false">IF(E59="","Missing",IF(COUNTIF($E$2:$E$207,E59)&gt;1,"Duplicate",IF(AND(LEN(E59)=16,LEFT(E59,5)="+63 9"),"Valid","Check")))</f>
        <v>Valid</v>
      </c>
      <c r="S59" s="43" t="str">
        <f aca="false">IF(AND(Q59="Valid",R59="Valid",N59&lt;&gt;""),"Complete","Needs follow-up")</f>
        <v>Complete</v>
      </c>
      <c r="T59" s="44" t="s">
        <v>442</v>
      </c>
    </row>
    <row r="60" customFormat="false" ht="18.75" hidden="false" customHeight="true" outlineLevel="0" collapsed="false">
      <c r="A60" s="38" t="s">
        <v>443</v>
      </c>
      <c r="B60" s="39" t="s">
        <v>444</v>
      </c>
      <c r="C60" s="39" t="s">
        <v>445</v>
      </c>
      <c r="D60" s="39" t="s">
        <v>446</v>
      </c>
      <c r="E60" s="39" t="s">
        <v>447</v>
      </c>
      <c r="F60" s="39" t="s">
        <v>128</v>
      </c>
      <c r="G60" s="39" t="s">
        <v>79</v>
      </c>
      <c r="H60" s="39" t="s">
        <v>129</v>
      </c>
      <c r="I60" s="40" t="n">
        <v>45309</v>
      </c>
      <c r="J60" s="40" t="n">
        <v>45935</v>
      </c>
      <c r="K60" s="33" t="n">
        <v>3</v>
      </c>
      <c r="L60" s="34" t="n">
        <v>2850</v>
      </c>
      <c r="M60" s="41" t="n">
        <f aca="false">IFERROR(L60/K60,0)</f>
        <v>950</v>
      </c>
      <c r="N60" s="39" t="s">
        <v>130</v>
      </c>
      <c r="O60" s="42" t="n">
        <f aca="false">IF(J60="","",AsOfDate-J60)</f>
        <v>360</v>
      </c>
      <c r="P60" s="43" t="str">
        <f aca="false">IF(A60="","",IF(AsOfDate-I60&lt;=90,"New",IF(AND(O60&lt;=180,L60&gt;=15000),"VIP",IF(O60&lt;=180,"Regular",IF(O60&lt;=365,"At risk","Lapsed")))))</f>
        <v>At risk</v>
      </c>
      <c r="Q60" s="43" t="str">
        <f aca="false">IF(D60="","Missing",IF(COUNTIF($D$2:$D$207,D60)&gt;1,"Duplicate",IF(AND(LEN(D60)-LEN(SUBSTITUTE(D60,"@",""))=1,ISNUMBER(SEARCH(".",D60,SEARCH("@",D60))),ISERROR(SEARCH(" ",D60))),"Valid","Invalid")))</f>
        <v>Valid</v>
      </c>
      <c r="R60" s="43" t="str">
        <f aca="false">IF(E60="","Missing",IF(COUNTIF($E$2:$E$207,E60)&gt;1,"Duplicate",IF(AND(LEN(E60)=16,LEFT(E60,5)="+63 9"),"Valid","Check")))</f>
        <v>Valid</v>
      </c>
      <c r="S60" s="43" t="str">
        <f aca="false">IF(AND(Q60="Valid",R60="Valid",N60&lt;&gt;""),"Complete","Needs follow-up")</f>
        <v>Complete</v>
      </c>
      <c r="T60" s="44" t="s">
        <v>448</v>
      </c>
    </row>
    <row r="61" customFormat="false" ht="18.75" hidden="false" customHeight="true" outlineLevel="0" collapsed="false">
      <c r="A61" s="38" t="s">
        <v>449</v>
      </c>
      <c r="B61" s="39" t="s">
        <v>450</v>
      </c>
      <c r="C61" s="39" t="s">
        <v>430</v>
      </c>
      <c r="D61" s="39" t="s">
        <v>451</v>
      </c>
      <c r="E61" s="39" t="s">
        <v>452</v>
      </c>
      <c r="F61" s="39" t="s">
        <v>170</v>
      </c>
      <c r="G61" s="39" t="s">
        <v>82</v>
      </c>
      <c r="H61" s="39" t="s">
        <v>182</v>
      </c>
      <c r="I61" s="40" t="n">
        <v>45309</v>
      </c>
      <c r="J61" s="40" t="n">
        <v>46128</v>
      </c>
      <c r="K61" s="33" t="n">
        <v>9</v>
      </c>
      <c r="L61" s="34" t="n">
        <v>14520</v>
      </c>
      <c r="M61" s="41" t="n">
        <f aca="false">IFERROR(L61/K61,0)</f>
        <v>1613.33333333333</v>
      </c>
      <c r="N61" s="39" t="s">
        <v>151</v>
      </c>
      <c r="O61" s="42" t="n">
        <f aca="false">IF(J61="","",AsOfDate-J61)</f>
        <v>167</v>
      </c>
      <c r="P61" s="43" t="str">
        <f aca="false">IF(A61="","",IF(AsOfDate-I61&lt;=90,"New",IF(AND(O61&lt;=180,L61&gt;=15000),"VIP",IF(O61&lt;=180,"Regular",IF(O61&lt;=365,"At risk","Lapsed")))))</f>
        <v>Regular</v>
      </c>
      <c r="Q61" s="43" t="str">
        <f aca="false">IF(D61="","Missing",IF(COUNTIF($D$2:$D$207,D61)&gt;1,"Duplicate",IF(AND(LEN(D61)-LEN(SUBSTITUTE(D61,"@",""))=1,ISNUMBER(SEARCH(".",D61,SEARCH("@",D61))),ISERROR(SEARCH(" ",D61))),"Valid","Invalid")))</f>
        <v>Valid</v>
      </c>
      <c r="R61" s="43" t="str">
        <f aca="false">IF(E61="","Missing",IF(COUNTIF($E$2:$E$207,E61)&gt;1,"Duplicate",IF(AND(LEN(E61)=16,LEFT(E61,5)="+63 9"),"Valid","Check")))</f>
        <v>Valid</v>
      </c>
      <c r="S61" s="43" t="str">
        <f aca="false">IF(AND(Q61="Valid",R61="Valid",N61&lt;&gt;""),"Complete","Needs follow-up")</f>
        <v>Complete</v>
      </c>
      <c r="T61" s="44" t="s">
        <v>453</v>
      </c>
    </row>
    <row r="62" customFormat="false" ht="18.75" hidden="false" customHeight="true" outlineLevel="0" collapsed="false">
      <c r="A62" s="38" t="s">
        <v>454</v>
      </c>
      <c r="B62" s="39" t="s">
        <v>133</v>
      </c>
      <c r="C62" s="39" t="s">
        <v>254</v>
      </c>
      <c r="D62" s="39" t="s">
        <v>455</v>
      </c>
      <c r="E62" s="39" t="s">
        <v>456</v>
      </c>
      <c r="F62" s="39" t="s">
        <v>163</v>
      </c>
      <c r="G62" s="39" t="s">
        <v>79</v>
      </c>
      <c r="H62" s="39" t="s">
        <v>164</v>
      </c>
      <c r="I62" s="40" t="n">
        <v>45312</v>
      </c>
      <c r="J62" s="40" t="n">
        <v>45462</v>
      </c>
      <c r="K62" s="33" t="n">
        <v>2</v>
      </c>
      <c r="L62" s="34" t="n">
        <v>1510</v>
      </c>
      <c r="M62" s="41" t="n">
        <f aca="false">IFERROR(L62/K62,0)</f>
        <v>755</v>
      </c>
      <c r="N62" s="39" t="s">
        <v>151</v>
      </c>
      <c r="O62" s="42" t="n">
        <f aca="false">IF(J62="","",AsOfDate-J62)</f>
        <v>833</v>
      </c>
      <c r="P62" s="43" t="str">
        <f aca="false">IF(A62="","",IF(AsOfDate-I62&lt;=90,"New",IF(AND(O62&lt;=180,L62&gt;=15000),"VIP",IF(O62&lt;=180,"Regular",IF(O62&lt;=365,"At risk","Lapsed")))))</f>
        <v>Lapsed</v>
      </c>
      <c r="Q62" s="43" t="str">
        <f aca="false">IF(D62="","Missing",IF(COUNTIF($D$2:$D$207,D62)&gt;1,"Duplicate",IF(AND(LEN(D62)-LEN(SUBSTITUTE(D62,"@",""))=1,ISNUMBER(SEARCH(".",D62,SEARCH("@",D62))),ISERROR(SEARCH(" ",D62))),"Valid","Invalid")))</f>
        <v>Valid</v>
      </c>
      <c r="R62" s="43" t="str">
        <f aca="false">IF(E62="","Missing",IF(COUNTIF($E$2:$E$207,E62)&gt;1,"Duplicate",IF(AND(LEN(E62)=16,LEFT(E62,5)="+63 9"),"Valid","Check")))</f>
        <v>Valid</v>
      </c>
      <c r="S62" s="43" t="str">
        <f aca="false">IF(AND(Q62="Valid",R62="Valid",N62&lt;&gt;""),"Complete","Needs follow-up")</f>
        <v>Complete</v>
      </c>
      <c r="T62" s="44" t="s">
        <v>457</v>
      </c>
    </row>
    <row r="63" customFormat="false" ht="18.75" hidden="false" customHeight="true" outlineLevel="0" collapsed="false">
      <c r="A63" s="38" t="s">
        <v>458</v>
      </c>
      <c r="B63" s="39" t="s">
        <v>459</v>
      </c>
      <c r="C63" s="39" t="s">
        <v>179</v>
      </c>
      <c r="D63" s="39" t="s">
        <v>460</v>
      </c>
      <c r="E63" s="39" t="s">
        <v>461</v>
      </c>
      <c r="F63" s="39" t="s">
        <v>150</v>
      </c>
      <c r="G63" s="39" t="s">
        <v>80</v>
      </c>
      <c r="H63" s="39" t="s">
        <v>164</v>
      </c>
      <c r="I63" s="40" t="n">
        <v>45324</v>
      </c>
      <c r="J63" s="40" t="n">
        <v>45990</v>
      </c>
      <c r="K63" s="33" t="n">
        <v>9</v>
      </c>
      <c r="L63" s="34" t="n">
        <v>13090</v>
      </c>
      <c r="M63" s="41" t="n">
        <f aca="false">IFERROR(L63/K63,0)</f>
        <v>1454.44444444444</v>
      </c>
      <c r="N63" s="39" t="s">
        <v>151</v>
      </c>
      <c r="O63" s="42" t="n">
        <f aca="false">IF(J63="","",AsOfDate-J63)</f>
        <v>305</v>
      </c>
      <c r="P63" s="43" t="str">
        <f aca="false">IF(A63="","",IF(AsOfDate-I63&lt;=90,"New",IF(AND(O63&lt;=180,L63&gt;=15000),"VIP",IF(O63&lt;=180,"Regular",IF(O63&lt;=365,"At risk","Lapsed")))))</f>
        <v>At risk</v>
      </c>
      <c r="Q63" s="43" t="str">
        <f aca="false">IF(D63="","Missing",IF(COUNTIF($D$2:$D$207,D63)&gt;1,"Duplicate",IF(AND(LEN(D63)-LEN(SUBSTITUTE(D63,"@",""))=1,ISNUMBER(SEARCH(".",D63,SEARCH("@",D63))),ISERROR(SEARCH(" ",D63))),"Valid","Invalid")))</f>
        <v>Valid</v>
      </c>
      <c r="R63" s="43" t="str">
        <f aca="false">IF(E63="","Missing",IF(COUNTIF($E$2:$E$207,E63)&gt;1,"Duplicate",IF(AND(LEN(E63)=16,LEFT(E63,5)="+63 9"),"Valid","Check")))</f>
        <v>Valid</v>
      </c>
      <c r="S63" s="43" t="str">
        <f aca="false">IF(AND(Q63="Valid",R63="Valid",N63&lt;&gt;""),"Complete","Needs follow-up")</f>
        <v>Complete</v>
      </c>
      <c r="T63" s="44" t="s">
        <v>462</v>
      </c>
    </row>
    <row r="64" customFormat="false" ht="18.75" hidden="false" customHeight="true" outlineLevel="0" collapsed="false">
      <c r="A64" s="38" t="s">
        <v>463</v>
      </c>
      <c r="B64" s="39" t="s">
        <v>464</v>
      </c>
      <c r="C64" s="39" t="s">
        <v>465</v>
      </c>
      <c r="D64" s="39" t="s">
        <v>466</v>
      </c>
      <c r="E64" s="39" t="s">
        <v>467</v>
      </c>
      <c r="F64" s="39" t="s">
        <v>163</v>
      </c>
      <c r="G64" s="39" t="s">
        <v>79</v>
      </c>
      <c r="H64" s="39" t="s">
        <v>312</v>
      </c>
      <c r="I64" s="40" t="n">
        <v>45327</v>
      </c>
      <c r="J64" s="40" t="n">
        <v>46250</v>
      </c>
      <c r="K64" s="33" t="n">
        <v>8</v>
      </c>
      <c r="L64" s="34" t="n">
        <v>14110</v>
      </c>
      <c r="M64" s="41" t="n">
        <f aca="false">IFERROR(L64/K64,0)</f>
        <v>1763.75</v>
      </c>
      <c r="N64" s="39" t="s">
        <v>151</v>
      </c>
      <c r="O64" s="42" t="n">
        <f aca="false">IF(J64="","",AsOfDate-J64)</f>
        <v>45</v>
      </c>
      <c r="P64" s="43" t="str">
        <f aca="false">IF(A64="","",IF(AsOfDate-I64&lt;=90,"New",IF(AND(O64&lt;=180,L64&gt;=15000),"VIP",IF(O64&lt;=180,"Regular",IF(O64&lt;=365,"At risk","Lapsed")))))</f>
        <v>Regular</v>
      </c>
      <c r="Q64" s="43" t="str">
        <f aca="false">IF(D64="","Missing",IF(COUNTIF($D$2:$D$207,D64)&gt;1,"Duplicate",IF(AND(LEN(D64)-LEN(SUBSTITUTE(D64,"@",""))=1,ISNUMBER(SEARCH(".",D64,SEARCH("@",D64))),ISERROR(SEARCH(" ",D64))),"Valid","Invalid")))</f>
        <v>Valid</v>
      </c>
      <c r="R64" s="43" t="str">
        <f aca="false">IF(E64="","Missing",IF(COUNTIF($E$2:$E$207,E64)&gt;1,"Duplicate",IF(AND(LEN(E64)=16,LEFT(E64,5)="+63 9"),"Valid","Check")))</f>
        <v>Valid</v>
      </c>
      <c r="S64" s="43" t="str">
        <f aca="false">IF(AND(Q64="Valid",R64="Valid",N64&lt;&gt;""),"Complete","Needs follow-up")</f>
        <v>Complete</v>
      </c>
      <c r="T64" s="44" t="s">
        <v>468</v>
      </c>
    </row>
    <row r="65" customFormat="false" ht="18.75" hidden="false" customHeight="true" outlineLevel="0" collapsed="false">
      <c r="A65" s="38" t="s">
        <v>469</v>
      </c>
      <c r="B65" s="39" t="s">
        <v>470</v>
      </c>
      <c r="C65" s="39" t="s">
        <v>471</v>
      </c>
      <c r="D65" s="39" t="s">
        <v>472</v>
      </c>
      <c r="E65" s="39" t="s">
        <v>473</v>
      </c>
      <c r="F65" s="39" t="s">
        <v>128</v>
      </c>
      <c r="G65" s="39" t="s">
        <v>79</v>
      </c>
      <c r="H65" s="39" t="s">
        <v>189</v>
      </c>
      <c r="I65" s="40" t="n">
        <v>45332</v>
      </c>
      <c r="J65" s="40" t="n">
        <v>46207</v>
      </c>
      <c r="K65" s="33" t="n">
        <v>5</v>
      </c>
      <c r="L65" s="34" t="n">
        <v>6420</v>
      </c>
      <c r="M65" s="41" t="n">
        <f aca="false">IFERROR(L65/K65,0)</f>
        <v>1284</v>
      </c>
      <c r="N65" s="39" t="s">
        <v>130</v>
      </c>
      <c r="O65" s="42" t="n">
        <f aca="false">IF(J65="","",AsOfDate-J65)</f>
        <v>88</v>
      </c>
      <c r="P65" s="43" t="str">
        <f aca="false">IF(A65="","",IF(AsOfDate-I65&lt;=90,"New",IF(AND(O65&lt;=180,L65&gt;=15000),"VIP",IF(O65&lt;=180,"Regular",IF(O65&lt;=365,"At risk","Lapsed")))))</f>
        <v>Regular</v>
      </c>
      <c r="Q65" s="43" t="str">
        <f aca="false">IF(D65="","Missing",IF(COUNTIF($D$2:$D$207,D65)&gt;1,"Duplicate",IF(AND(LEN(D65)-LEN(SUBSTITUTE(D65,"@",""))=1,ISNUMBER(SEARCH(".",D65,SEARCH("@",D65))),ISERROR(SEARCH(" ",D65))),"Valid","Invalid")))</f>
        <v>Valid</v>
      </c>
      <c r="R65" s="43" t="str">
        <f aca="false">IF(E65="","Missing",IF(COUNTIF($E$2:$E$207,E65)&gt;1,"Duplicate",IF(AND(LEN(E65)=16,LEFT(E65,5)="+63 9"),"Valid","Check")))</f>
        <v>Valid</v>
      </c>
      <c r="S65" s="43" t="str">
        <f aca="false">IF(AND(Q65="Valid",R65="Valid",N65&lt;&gt;""),"Complete","Needs follow-up")</f>
        <v>Complete</v>
      </c>
      <c r="T65" s="44" t="s">
        <v>474</v>
      </c>
    </row>
    <row r="66" customFormat="false" ht="18.75" hidden="false" customHeight="true" outlineLevel="0" collapsed="false">
      <c r="A66" s="38" t="s">
        <v>475</v>
      </c>
      <c r="B66" s="39" t="s">
        <v>476</v>
      </c>
      <c r="C66" s="39" t="s">
        <v>134</v>
      </c>
      <c r="D66" s="39" t="s">
        <v>477</v>
      </c>
      <c r="E66" s="39" t="s">
        <v>478</v>
      </c>
      <c r="F66" s="39" t="s">
        <v>120</v>
      </c>
      <c r="G66" s="39" t="s">
        <v>80</v>
      </c>
      <c r="H66" s="39" t="s">
        <v>129</v>
      </c>
      <c r="I66" s="40" t="n">
        <v>45336</v>
      </c>
      <c r="J66" s="40" t="n">
        <v>45866</v>
      </c>
      <c r="K66" s="33" t="n">
        <v>2</v>
      </c>
      <c r="L66" s="34" t="n">
        <v>3400</v>
      </c>
      <c r="M66" s="41" t="n">
        <f aca="false">IFERROR(L66/K66,0)</f>
        <v>1700</v>
      </c>
      <c r="N66" s="39" t="s">
        <v>151</v>
      </c>
      <c r="O66" s="42" t="n">
        <f aca="false">IF(J66="","",AsOfDate-J66)</f>
        <v>429</v>
      </c>
      <c r="P66" s="43" t="str">
        <f aca="false">IF(A66="","",IF(AsOfDate-I66&lt;=90,"New",IF(AND(O66&lt;=180,L66&gt;=15000),"VIP",IF(O66&lt;=180,"Regular",IF(O66&lt;=365,"At risk","Lapsed")))))</f>
        <v>Lapsed</v>
      </c>
      <c r="Q66" s="43" t="str">
        <f aca="false">IF(D66="","Missing",IF(COUNTIF($D$2:$D$207,D66)&gt;1,"Duplicate",IF(AND(LEN(D66)-LEN(SUBSTITUTE(D66,"@",""))=1,ISNUMBER(SEARCH(".",D66,SEARCH("@",D66))),ISERROR(SEARCH(" ",D66))),"Valid","Invalid")))</f>
        <v>Valid</v>
      </c>
      <c r="R66" s="43" t="str">
        <f aca="false">IF(E66="","Missing",IF(COUNTIF($E$2:$E$207,E66)&gt;1,"Duplicate",IF(AND(LEN(E66)=16,LEFT(E66,5)="+63 9"),"Valid","Check")))</f>
        <v>Valid</v>
      </c>
      <c r="S66" s="43" t="str">
        <f aca="false">IF(AND(Q66="Valid",R66="Valid",N66&lt;&gt;""),"Complete","Needs follow-up")</f>
        <v>Complete</v>
      </c>
      <c r="T66" s="44" t="s">
        <v>479</v>
      </c>
    </row>
    <row r="67" customFormat="false" ht="18.75" hidden="false" customHeight="true" outlineLevel="0" collapsed="false">
      <c r="A67" s="38" t="s">
        <v>480</v>
      </c>
      <c r="B67" s="39" t="s">
        <v>214</v>
      </c>
      <c r="C67" s="39" t="s">
        <v>481</v>
      </c>
      <c r="D67" s="39" t="s">
        <v>482</v>
      </c>
      <c r="E67" s="39" t="s">
        <v>483</v>
      </c>
      <c r="F67" s="39" t="s">
        <v>150</v>
      </c>
      <c r="G67" s="39" t="s">
        <v>80</v>
      </c>
      <c r="H67" s="39" t="s">
        <v>129</v>
      </c>
      <c r="I67" s="40" t="n">
        <v>45340</v>
      </c>
      <c r="J67" s="40" t="n">
        <v>45974</v>
      </c>
      <c r="K67" s="33" t="n">
        <v>8</v>
      </c>
      <c r="L67" s="34" t="n">
        <v>4780</v>
      </c>
      <c r="M67" s="41" t="n">
        <f aca="false">IFERROR(L67/K67,0)</f>
        <v>597.5</v>
      </c>
      <c r="N67" s="39" t="s">
        <v>151</v>
      </c>
      <c r="O67" s="42" t="n">
        <f aca="false">IF(J67="","",AsOfDate-J67)</f>
        <v>321</v>
      </c>
      <c r="P67" s="43" t="str">
        <f aca="false">IF(A67="","",IF(AsOfDate-I67&lt;=90,"New",IF(AND(O67&lt;=180,L67&gt;=15000),"VIP",IF(O67&lt;=180,"Regular",IF(O67&lt;=365,"At risk","Lapsed")))))</f>
        <v>At risk</v>
      </c>
      <c r="Q67" s="43" t="str">
        <f aca="false">IF(D67="","Missing",IF(COUNTIF($D$2:$D$207,D67)&gt;1,"Duplicate",IF(AND(LEN(D67)-LEN(SUBSTITUTE(D67,"@",""))=1,ISNUMBER(SEARCH(".",D67,SEARCH("@",D67))),ISERROR(SEARCH(" ",D67))),"Valid","Invalid")))</f>
        <v>Valid</v>
      </c>
      <c r="R67" s="43" t="str">
        <f aca="false">IF(E67="","Missing",IF(COUNTIF($E$2:$E$207,E67)&gt;1,"Duplicate",IF(AND(LEN(E67)=16,LEFT(E67,5)="+63 9"),"Valid","Check")))</f>
        <v>Valid</v>
      </c>
      <c r="S67" s="43" t="str">
        <f aca="false">IF(AND(Q67="Valid",R67="Valid",N67&lt;&gt;""),"Complete","Needs follow-up")</f>
        <v>Complete</v>
      </c>
      <c r="T67" s="44" t="s">
        <v>484</v>
      </c>
    </row>
    <row r="68" customFormat="false" ht="18.75" hidden="false" customHeight="true" outlineLevel="0" collapsed="false">
      <c r="A68" s="38" t="s">
        <v>485</v>
      </c>
      <c r="B68" s="39" t="s">
        <v>371</v>
      </c>
      <c r="C68" s="39" t="s">
        <v>486</v>
      </c>
      <c r="D68" s="39" t="s">
        <v>487</v>
      </c>
      <c r="E68" s="39" t="s">
        <v>488</v>
      </c>
      <c r="F68" s="39" t="s">
        <v>295</v>
      </c>
      <c r="G68" s="39" t="s">
        <v>84</v>
      </c>
      <c r="H68" s="39" t="s">
        <v>285</v>
      </c>
      <c r="I68" s="40" t="n">
        <v>45343</v>
      </c>
      <c r="J68" s="40" t="n">
        <v>46244</v>
      </c>
      <c r="K68" s="33" t="n">
        <v>25</v>
      </c>
      <c r="L68" s="34" t="n">
        <v>39120</v>
      </c>
      <c r="M68" s="41" t="n">
        <f aca="false">IFERROR(L68/K68,0)</f>
        <v>1564.8</v>
      </c>
      <c r="N68" s="39" t="s">
        <v>151</v>
      </c>
      <c r="O68" s="42" t="n">
        <f aca="false">IF(J68="","",AsOfDate-J68)</f>
        <v>51</v>
      </c>
      <c r="P68" s="43" t="str">
        <f aca="false">IF(A68="","",IF(AsOfDate-I68&lt;=90,"New",IF(AND(O68&lt;=180,L68&gt;=15000),"VIP",IF(O68&lt;=180,"Regular",IF(O68&lt;=365,"At risk","Lapsed")))))</f>
        <v>VIP</v>
      </c>
      <c r="Q68" s="43" t="str">
        <f aca="false">IF(D68="","Missing",IF(COUNTIF($D$2:$D$207,D68)&gt;1,"Duplicate",IF(AND(LEN(D68)-LEN(SUBSTITUTE(D68,"@",""))=1,ISNUMBER(SEARCH(".",D68,SEARCH("@",D68))),ISERROR(SEARCH(" ",D68))),"Valid","Invalid")))</f>
        <v>Valid</v>
      </c>
      <c r="R68" s="43" t="str">
        <f aca="false">IF(E68="","Missing",IF(COUNTIF($E$2:$E$207,E68)&gt;1,"Duplicate",IF(AND(LEN(E68)=16,LEFT(E68,5)="+63 9"),"Valid","Check")))</f>
        <v>Valid</v>
      </c>
      <c r="S68" s="43" t="str">
        <f aca="false">IF(AND(Q68="Valid",R68="Valid",N68&lt;&gt;""),"Complete","Needs follow-up")</f>
        <v>Complete</v>
      </c>
      <c r="T68" s="44" t="s">
        <v>489</v>
      </c>
    </row>
    <row r="69" customFormat="false" ht="18.75" hidden="false" customHeight="true" outlineLevel="0" collapsed="false">
      <c r="A69" s="38" t="s">
        <v>490</v>
      </c>
      <c r="B69" s="39" t="s">
        <v>491</v>
      </c>
      <c r="C69" s="39" t="s">
        <v>236</v>
      </c>
      <c r="D69" s="39" t="s">
        <v>492</v>
      </c>
      <c r="E69" s="39" t="s">
        <v>493</v>
      </c>
      <c r="F69" s="39" t="s">
        <v>150</v>
      </c>
      <c r="G69" s="39" t="s">
        <v>80</v>
      </c>
      <c r="H69" s="39" t="s">
        <v>129</v>
      </c>
      <c r="I69" s="40" t="n">
        <v>45345</v>
      </c>
      <c r="J69" s="40" t="n">
        <v>46185</v>
      </c>
      <c r="K69" s="33" t="n">
        <v>11</v>
      </c>
      <c r="L69" s="34" t="n">
        <v>19740</v>
      </c>
      <c r="M69" s="41" t="n">
        <f aca="false">IFERROR(L69/K69,0)</f>
        <v>1794.54545454545</v>
      </c>
      <c r="N69" s="39" t="s">
        <v>130</v>
      </c>
      <c r="O69" s="42" t="n">
        <f aca="false">IF(J69="","",AsOfDate-J69)</f>
        <v>110</v>
      </c>
      <c r="P69" s="43" t="str">
        <f aca="false">IF(A69="","",IF(AsOfDate-I69&lt;=90,"New",IF(AND(O69&lt;=180,L69&gt;=15000),"VIP",IF(O69&lt;=180,"Regular",IF(O69&lt;=365,"At risk","Lapsed")))))</f>
        <v>VIP</v>
      </c>
      <c r="Q69" s="43" t="str">
        <f aca="false">IF(D69="","Missing",IF(COUNTIF($D$2:$D$207,D69)&gt;1,"Duplicate",IF(AND(LEN(D69)-LEN(SUBSTITUTE(D69,"@",""))=1,ISNUMBER(SEARCH(".",D69,SEARCH("@",D69))),ISERROR(SEARCH(" ",D69))),"Valid","Invalid")))</f>
        <v>Valid</v>
      </c>
      <c r="R69" s="43" t="str">
        <f aca="false">IF(E69="","Missing",IF(COUNTIF($E$2:$E$207,E69)&gt;1,"Duplicate",IF(AND(LEN(E69)=16,LEFT(E69,5)="+63 9"),"Valid","Check")))</f>
        <v>Valid</v>
      </c>
      <c r="S69" s="43" t="str">
        <f aca="false">IF(AND(Q69="Valid",R69="Valid",N69&lt;&gt;""),"Complete","Needs follow-up")</f>
        <v>Complete</v>
      </c>
      <c r="T69" s="44" t="s">
        <v>494</v>
      </c>
    </row>
    <row r="70" customFormat="false" ht="18.75" hidden="false" customHeight="true" outlineLevel="0" collapsed="false">
      <c r="A70" s="38" t="s">
        <v>495</v>
      </c>
      <c r="B70" s="39" t="s">
        <v>496</v>
      </c>
      <c r="C70" s="39" t="s">
        <v>243</v>
      </c>
      <c r="D70" s="39" t="s">
        <v>497</v>
      </c>
      <c r="E70" s="39" t="s">
        <v>498</v>
      </c>
      <c r="F70" s="39" t="s">
        <v>150</v>
      </c>
      <c r="G70" s="39" t="s">
        <v>80</v>
      </c>
      <c r="H70" s="39" t="s">
        <v>285</v>
      </c>
      <c r="I70" s="40" t="n">
        <v>45349</v>
      </c>
      <c r="J70" s="40" t="n">
        <v>46189</v>
      </c>
      <c r="K70" s="33" t="n">
        <v>11</v>
      </c>
      <c r="L70" s="34" t="n">
        <v>10150</v>
      </c>
      <c r="M70" s="41" t="n">
        <f aca="false">IFERROR(L70/K70,0)</f>
        <v>922.727272727273</v>
      </c>
      <c r="N70" s="39" t="s">
        <v>151</v>
      </c>
      <c r="O70" s="42" t="n">
        <f aca="false">IF(J70="","",AsOfDate-J70)</f>
        <v>106</v>
      </c>
      <c r="P70" s="43" t="str">
        <f aca="false">IF(A70="","",IF(AsOfDate-I70&lt;=90,"New",IF(AND(O70&lt;=180,L70&gt;=15000),"VIP",IF(O70&lt;=180,"Regular",IF(O70&lt;=365,"At risk","Lapsed")))))</f>
        <v>Regular</v>
      </c>
      <c r="Q70" s="43" t="str">
        <f aca="false">IF(D70="","Missing",IF(COUNTIF($D$2:$D$207,D70)&gt;1,"Duplicate",IF(AND(LEN(D70)-LEN(SUBSTITUTE(D70,"@",""))=1,ISNUMBER(SEARCH(".",D70,SEARCH("@",D70))),ISERROR(SEARCH(" ",D70))),"Valid","Invalid")))</f>
        <v>Valid</v>
      </c>
      <c r="R70" s="43" t="str">
        <f aca="false">IF(E70="","Missing",IF(COUNTIF($E$2:$E$207,E70)&gt;1,"Duplicate",IF(AND(LEN(E70)=16,LEFT(E70,5)="+63 9"),"Valid","Check")))</f>
        <v>Valid</v>
      </c>
      <c r="S70" s="43" t="str">
        <f aca="false">IF(AND(Q70="Valid",R70="Valid",N70&lt;&gt;""),"Complete","Needs follow-up")</f>
        <v>Complete</v>
      </c>
      <c r="T70" s="44" t="s">
        <v>499</v>
      </c>
    </row>
    <row r="71" customFormat="false" ht="18.75" hidden="false" customHeight="true" outlineLevel="0" collapsed="false">
      <c r="A71" s="38" t="s">
        <v>500</v>
      </c>
      <c r="B71" s="39" t="s">
        <v>491</v>
      </c>
      <c r="C71" s="39" t="s">
        <v>465</v>
      </c>
      <c r="D71" s="39"/>
      <c r="E71" s="39" t="s">
        <v>501</v>
      </c>
      <c r="F71" s="39" t="s">
        <v>239</v>
      </c>
      <c r="G71" s="39" t="s">
        <v>79</v>
      </c>
      <c r="H71" s="39" t="s">
        <v>121</v>
      </c>
      <c r="I71" s="40" t="n">
        <v>45350</v>
      </c>
      <c r="J71" s="40" t="n">
        <v>46260</v>
      </c>
      <c r="K71" s="33" t="n">
        <v>32</v>
      </c>
      <c r="L71" s="34" t="n">
        <v>41790</v>
      </c>
      <c r="M71" s="41" t="n">
        <f aca="false">IFERROR(L71/K71,0)</f>
        <v>1305.9375</v>
      </c>
      <c r="N71" s="39" t="s">
        <v>130</v>
      </c>
      <c r="O71" s="42" t="n">
        <f aca="false">IF(J71="","",AsOfDate-J71)</f>
        <v>35</v>
      </c>
      <c r="P71" s="43" t="str">
        <f aca="false">IF(A71="","",IF(AsOfDate-I71&lt;=90,"New",IF(AND(O71&lt;=180,L71&gt;=15000),"VIP",IF(O71&lt;=180,"Regular",IF(O71&lt;=365,"At risk","Lapsed")))))</f>
        <v>VIP</v>
      </c>
      <c r="Q71" s="43" t="str">
        <f aca="false">IF(D71="","Missing",IF(COUNTIF($D$2:$D$207,D71)&gt;1,"Duplicate",IF(AND(LEN(D71)-LEN(SUBSTITUTE(D71,"@",""))=1,ISNUMBER(SEARCH(".",D71,SEARCH("@",D71))),ISERROR(SEARCH(" ",D71))),"Valid","Invalid")))</f>
        <v>Missing</v>
      </c>
      <c r="R71" s="43" t="str">
        <f aca="false">IF(E71="","Missing",IF(COUNTIF($E$2:$E$207,E71)&gt;1,"Duplicate",IF(AND(LEN(E71)=16,LEFT(E71,5)="+63 9"),"Valid","Check")))</f>
        <v>Valid</v>
      </c>
      <c r="S71" s="43" t="str">
        <f aca="false">IF(AND(Q71="Valid",R71="Valid",N71&lt;&gt;""),"Complete","Needs follow-up")</f>
        <v>Needs follow-up</v>
      </c>
      <c r="T71" s="44" t="s">
        <v>502</v>
      </c>
    </row>
    <row r="72" customFormat="false" ht="18.75" hidden="false" customHeight="true" outlineLevel="0" collapsed="false">
      <c r="A72" s="38" t="s">
        <v>503</v>
      </c>
      <c r="B72" s="39" t="s">
        <v>470</v>
      </c>
      <c r="C72" s="39" t="s">
        <v>401</v>
      </c>
      <c r="D72" s="39" t="s">
        <v>504</v>
      </c>
      <c r="E72" s="39" t="s">
        <v>505</v>
      </c>
      <c r="F72" s="39" t="s">
        <v>239</v>
      </c>
      <c r="G72" s="39" t="s">
        <v>79</v>
      </c>
      <c r="H72" s="39" t="s">
        <v>129</v>
      </c>
      <c r="I72" s="40" t="n">
        <v>45356</v>
      </c>
      <c r="J72" s="40" t="n">
        <v>46190</v>
      </c>
      <c r="K72" s="33" t="n">
        <v>12</v>
      </c>
      <c r="L72" s="34" t="n">
        <v>21140</v>
      </c>
      <c r="M72" s="41" t="n">
        <f aca="false">IFERROR(L72/K72,0)</f>
        <v>1761.66666666667</v>
      </c>
      <c r="N72" s="39" t="s">
        <v>151</v>
      </c>
      <c r="O72" s="42" t="n">
        <f aca="false">IF(J72="","",AsOfDate-J72)</f>
        <v>105</v>
      </c>
      <c r="P72" s="43" t="str">
        <f aca="false">IF(A72="","",IF(AsOfDate-I72&lt;=90,"New",IF(AND(O72&lt;=180,L72&gt;=15000),"VIP",IF(O72&lt;=180,"Regular",IF(O72&lt;=365,"At risk","Lapsed")))))</f>
        <v>VIP</v>
      </c>
      <c r="Q72" s="43" t="str">
        <f aca="false">IF(D72="","Missing",IF(COUNTIF($D$2:$D$207,D72)&gt;1,"Duplicate",IF(AND(LEN(D72)-LEN(SUBSTITUTE(D72,"@",""))=1,ISNUMBER(SEARCH(".",D72,SEARCH("@",D72))),ISERROR(SEARCH(" ",D72))),"Valid","Invalid")))</f>
        <v>Valid</v>
      </c>
      <c r="R72" s="43" t="str">
        <f aca="false">IF(E72="","Missing",IF(COUNTIF($E$2:$E$207,E72)&gt;1,"Duplicate",IF(AND(LEN(E72)=16,LEFT(E72,5)="+63 9"),"Valid","Check")))</f>
        <v>Valid</v>
      </c>
      <c r="S72" s="43" t="str">
        <f aca="false">IF(AND(Q72="Valid",R72="Valid",N72&lt;&gt;""),"Complete","Needs follow-up")</f>
        <v>Complete</v>
      </c>
      <c r="T72" s="44" t="s">
        <v>506</v>
      </c>
    </row>
    <row r="73" customFormat="false" ht="18.75" hidden="false" customHeight="true" outlineLevel="0" collapsed="false">
      <c r="A73" s="38" t="s">
        <v>507</v>
      </c>
      <c r="B73" s="39" t="s">
        <v>464</v>
      </c>
      <c r="C73" s="39" t="s">
        <v>508</v>
      </c>
      <c r="D73" s="39" t="s">
        <v>509</v>
      </c>
      <c r="E73" s="39" t="s">
        <v>510</v>
      </c>
      <c r="F73" s="39" t="s">
        <v>239</v>
      </c>
      <c r="G73" s="39" t="s">
        <v>79</v>
      </c>
      <c r="H73" s="39" t="s">
        <v>129</v>
      </c>
      <c r="I73" s="40" t="n">
        <v>45357</v>
      </c>
      <c r="J73" s="40" t="n">
        <v>46221</v>
      </c>
      <c r="K73" s="33" t="n">
        <v>3</v>
      </c>
      <c r="L73" s="34" t="n">
        <v>4350</v>
      </c>
      <c r="M73" s="41" t="n">
        <f aca="false">IFERROR(L73/K73,0)</f>
        <v>1450</v>
      </c>
      <c r="N73" s="39" t="s">
        <v>151</v>
      </c>
      <c r="O73" s="42" t="n">
        <f aca="false">IF(J73="","",AsOfDate-J73)</f>
        <v>74</v>
      </c>
      <c r="P73" s="43" t="str">
        <f aca="false">IF(A73="","",IF(AsOfDate-I73&lt;=90,"New",IF(AND(O73&lt;=180,L73&gt;=15000),"VIP",IF(O73&lt;=180,"Regular",IF(O73&lt;=365,"At risk","Lapsed")))))</f>
        <v>Regular</v>
      </c>
      <c r="Q73" s="43" t="str">
        <f aca="false">IF(D73="","Missing",IF(COUNTIF($D$2:$D$207,D73)&gt;1,"Duplicate",IF(AND(LEN(D73)-LEN(SUBSTITUTE(D73,"@",""))=1,ISNUMBER(SEARCH(".",D73,SEARCH("@",D73))),ISERROR(SEARCH(" ",D73))),"Valid","Invalid")))</f>
        <v>Valid</v>
      </c>
      <c r="R73" s="43" t="str">
        <f aca="false">IF(E73="","Missing",IF(COUNTIF($E$2:$E$207,E73)&gt;1,"Duplicate",IF(AND(LEN(E73)=16,LEFT(E73,5)="+63 9"),"Valid","Check")))</f>
        <v>Valid</v>
      </c>
      <c r="S73" s="43" t="str">
        <f aca="false">IF(AND(Q73="Valid",R73="Valid",N73&lt;&gt;""),"Complete","Needs follow-up")</f>
        <v>Complete</v>
      </c>
      <c r="T73" s="44" t="s">
        <v>511</v>
      </c>
    </row>
    <row r="74" customFormat="false" ht="18.75" hidden="false" customHeight="true" outlineLevel="0" collapsed="false">
      <c r="A74" s="38" t="s">
        <v>512</v>
      </c>
      <c r="B74" s="39" t="s">
        <v>513</v>
      </c>
      <c r="C74" s="39" t="s">
        <v>486</v>
      </c>
      <c r="D74" s="39" t="s">
        <v>514</v>
      </c>
      <c r="E74" s="39" t="s">
        <v>515</v>
      </c>
      <c r="F74" s="39" t="s">
        <v>150</v>
      </c>
      <c r="G74" s="39" t="s">
        <v>80</v>
      </c>
      <c r="H74" s="39" t="s">
        <v>164</v>
      </c>
      <c r="I74" s="40" t="n">
        <v>45359</v>
      </c>
      <c r="J74" s="40" t="n">
        <v>46189</v>
      </c>
      <c r="K74" s="33" t="n">
        <v>11</v>
      </c>
      <c r="L74" s="34" t="n">
        <v>20100</v>
      </c>
      <c r="M74" s="41" t="n">
        <f aca="false">IFERROR(L74/K74,0)</f>
        <v>1827.27272727273</v>
      </c>
      <c r="N74" s="39" t="s">
        <v>130</v>
      </c>
      <c r="O74" s="42" t="n">
        <f aca="false">IF(J74="","",AsOfDate-J74)</f>
        <v>106</v>
      </c>
      <c r="P74" s="43" t="str">
        <f aca="false">IF(A74="","",IF(AsOfDate-I74&lt;=90,"New",IF(AND(O74&lt;=180,L74&gt;=15000),"VIP",IF(O74&lt;=180,"Regular",IF(O74&lt;=365,"At risk","Lapsed")))))</f>
        <v>VIP</v>
      </c>
      <c r="Q74" s="43" t="str">
        <f aca="false">IF(D74="","Missing",IF(COUNTIF($D$2:$D$207,D74)&gt;1,"Duplicate",IF(AND(LEN(D74)-LEN(SUBSTITUTE(D74,"@",""))=1,ISNUMBER(SEARCH(".",D74,SEARCH("@",D74))),ISERROR(SEARCH(" ",D74))),"Valid","Invalid")))</f>
        <v>Valid</v>
      </c>
      <c r="R74" s="43" t="str">
        <f aca="false">IF(E74="","Missing",IF(COUNTIF($E$2:$E$207,E74)&gt;1,"Duplicate",IF(AND(LEN(E74)=16,LEFT(E74,5)="+63 9"),"Valid","Check")))</f>
        <v>Valid</v>
      </c>
      <c r="S74" s="43" t="str">
        <f aca="false">IF(AND(Q74="Valid",R74="Valid",N74&lt;&gt;""),"Complete","Needs follow-up")</f>
        <v>Complete</v>
      </c>
      <c r="T74" s="44" t="s">
        <v>516</v>
      </c>
    </row>
    <row r="75" customFormat="false" ht="18.75" hidden="false" customHeight="true" outlineLevel="0" collapsed="false">
      <c r="A75" s="38" t="s">
        <v>517</v>
      </c>
      <c r="B75" s="39" t="s">
        <v>518</v>
      </c>
      <c r="C75" s="39" t="s">
        <v>366</v>
      </c>
      <c r="D75" s="39" t="s">
        <v>519</v>
      </c>
      <c r="E75" s="39" t="s">
        <v>520</v>
      </c>
      <c r="F75" s="39" t="s">
        <v>324</v>
      </c>
      <c r="G75" s="39" t="s">
        <v>80</v>
      </c>
      <c r="H75" s="39" t="s">
        <v>182</v>
      </c>
      <c r="I75" s="40" t="n">
        <v>45361</v>
      </c>
      <c r="J75" s="40" t="n">
        <v>45500</v>
      </c>
      <c r="K75" s="33" t="n">
        <v>4</v>
      </c>
      <c r="L75" s="34" t="n">
        <v>7200</v>
      </c>
      <c r="M75" s="41" t="n">
        <f aca="false">IFERROR(L75/K75,0)</f>
        <v>1800</v>
      </c>
      <c r="N75" s="39" t="s">
        <v>151</v>
      </c>
      <c r="O75" s="42" t="n">
        <f aca="false">IF(J75="","",AsOfDate-J75)</f>
        <v>795</v>
      </c>
      <c r="P75" s="43" t="str">
        <f aca="false">IF(A75="","",IF(AsOfDate-I75&lt;=90,"New",IF(AND(O75&lt;=180,L75&gt;=15000),"VIP",IF(O75&lt;=180,"Regular",IF(O75&lt;=365,"At risk","Lapsed")))))</f>
        <v>Lapsed</v>
      </c>
      <c r="Q75" s="43" t="str">
        <f aca="false">IF(D75="","Missing",IF(COUNTIF($D$2:$D$207,D75)&gt;1,"Duplicate",IF(AND(LEN(D75)-LEN(SUBSTITUTE(D75,"@",""))=1,ISNUMBER(SEARCH(".",D75,SEARCH("@",D75))),ISERROR(SEARCH(" ",D75))),"Valid","Invalid")))</f>
        <v>Valid</v>
      </c>
      <c r="R75" s="43" t="str">
        <f aca="false">IF(E75="","Missing",IF(COUNTIF($E$2:$E$207,E75)&gt;1,"Duplicate",IF(AND(LEN(E75)=16,LEFT(E75,5)="+63 9"),"Valid","Check")))</f>
        <v>Valid</v>
      </c>
      <c r="S75" s="43" t="str">
        <f aca="false">IF(AND(Q75="Valid",R75="Valid",N75&lt;&gt;""),"Complete","Needs follow-up")</f>
        <v>Complete</v>
      </c>
      <c r="T75" s="44" t="s">
        <v>521</v>
      </c>
    </row>
    <row r="76" customFormat="false" ht="18.75" hidden="false" customHeight="true" outlineLevel="0" collapsed="false">
      <c r="A76" s="38" t="s">
        <v>522</v>
      </c>
      <c r="B76" s="39" t="s">
        <v>523</v>
      </c>
      <c r="C76" s="39" t="s">
        <v>141</v>
      </c>
      <c r="D76" s="39" t="s">
        <v>524</v>
      </c>
      <c r="E76" s="39" t="s">
        <v>525</v>
      </c>
      <c r="F76" s="39" t="s">
        <v>137</v>
      </c>
      <c r="G76" s="39" t="s">
        <v>83</v>
      </c>
      <c r="H76" s="39" t="s">
        <v>285</v>
      </c>
      <c r="I76" s="40" t="n">
        <v>45366</v>
      </c>
      <c r="J76" s="40" t="n">
        <v>45627</v>
      </c>
      <c r="K76" s="33" t="n">
        <v>2</v>
      </c>
      <c r="L76" s="34" t="n">
        <v>3750</v>
      </c>
      <c r="M76" s="41" t="n">
        <f aca="false">IFERROR(L76/K76,0)</f>
        <v>1875</v>
      </c>
      <c r="N76" s="39" t="s">
        <v>151</v>
      </c>
      <c r="O76" s="42" t="n">
        <f aca="false">IF(J76="","",AsOfDate-J76)</f>
        <v>668</v>
      </c>
      <c r="P76" s="43" t="str">
        <f aca="false">IF(A76="","",IF(AsOfDate-I76&lt;=90,"New",IF(AND(O76&lt;=180,L76&gt;=15000),"VIP",IF(O76&lt;=180,"Regular",IF(O76&lt;=365,"At risk","Lapsed")))))</f>
        <v>Lapsed</v>
      </c>
      <c r="Q76" s="43" t="str">
        <f aca="false">IF(D76="","Missing",IF(COUNTIF($D$2:$D$207,D76)&gt;1,"Duplicate",IF(AND(LEN(D76)-LEN(SUBSTITUTE(D76,"@",""))=1,ISNUMBER(SEARCH(".",D76,SEARCH("@",D76))),ISERROR(SEARCH(" ",D76))),"Valid","Invalid")))</f>
        <v>Valid</v>
      </c>
      <c r="R76" s="43" t="str">
        <f aca="false">IF(E76="","Missing",IF(COUNTIF($E$2:$E$207,E76)&gt;1,"Duplicate",IF(AND(LEN(E76)=16,LEFT(E76,5)="+63 9"),"Valid","Check")))</f>
        <v>Valid</v>
      </c>
      <c r="S76" s="43" t="str">
        <f aca="false">IF(AND(Q76="Valid",R76="Valid",N76&lt;&gt;""),"Complete","Needs follow-up")</f>
        <v>Complete</v>
      </c>
      <c r="T76" s="44" t="s">
        <v>526</v>
      </c>
    </row>
    <row r="77" customFormat="false" ht="18.75" hidden="false" customHeight="true" outlineLevel="0" collapsed="false">
      <c r="A77" s="38" t="s">
        <v>527</v>
      </c>
      <c r="B77" s="39" t="s">
        <v>272</v>
      </c>
      <c r="C77" s="39" t="s">
        <v>528</v>
      </c>
      <c r="D77" s="39" t="s">
        <v>529</v>
      </c>
      <c r="E77" s="39" t="s">
        <v>530</v>
      </c>
      <c r="F77" s="39" t="s">
        <v>120</v>
      </c>
      <c r="G77" s="39" t="s">
        <v>80</v>
      </c>
      <c r="H77" s="39" t="s">
        <v>164</v>
      </c>
      <c r="I77" s="40" t="n">
        <v>45367</v>
      </c>
      <c r="J77" s="40" t="n">
        <v>46283</v>
      </c>
      <c r="K77" s="33" t="n">
        <v>32</v>
      </c>
      <c r="L77" s="34" t="n">
        <v>45380</v>
      </c>
      <c r="M77" s="41" t="n">
        <f aca="false">IFERROR(L77/K77,0)</f>
        <v>1418.125</v>
      </c>
      <c r="N77" s="39" t="s">
        <v>151</v>
      </c>
      <c r="O77" s="42" t="n">
        <f aca="false">IF(J77="","",AsOfDate-J77)</f>
        <v>12</v>
      </c>
      <c r="P77" s="43" t="str">
        <f aca="false">IF(A77="","",IF(AsOfDate-I77&lt;=90,"New",IF(AND(O77&lt;=180,L77&gt;=15000),"VIP",IF(O77&lt;=180,"Regular",IF(O77&lt;=365,"At risk","Lapsed")))))</f>
        <v>VIP</v>
      </c>
      <c r="Q77" s="43" t="str">
        <f aca="false">IF(D77="","Missing",IF(COUNTIF($D$2:$D$207,D77)&gt;1,"Duplicate",IF(AND(LEN(D77)-LEN(SUBSTITUTE(D77,"@",""))=1,ISNUMBER(SEARCH(".",D77,SEARCH("@",D77))),ISERROR(SEARCH(" ",D77))),"Valid","Invalid")))</f>
        <v>Valid</v>
      </c>
      <c r="R77" s="43" t="str">
        <f aca="false">IF(E77="","Missing",IF(COUNTIF($E$2:$E$207,E77)&gt;1,"Duplicate",IF(AND(LEN(E77)=16,LEFT(E77,5)="+63 9"),"Valid","Check")))</f>
        <v>Valid</v>
      </c>
      <c r="S77" s="43" t="str">
        <f aca="false">IF(AND(Q77="Valid",R77="Valid",N77&lt;&gt;""),"Complete","Needs follow-up")</f>
        <v>Complete</v>
      </c>
      <c r="T77" s="44" t="s">
        <v>531</v>
      </c>
    </row>
    <row r="78" customFormat="false" ht="18.75" hidden="false" customHeight="true" outlineLevel="0" collapsed="false">
      <c r="A78" s="38" t="s">
        <v>532</v>
      </c>
      <c r="B78" s="39" t="s">
        <v>518</v>
      </c>
      <c r="C78" s="39" t="s">
        <v>533</v>
      </c>
      <c r="D78" s="39" t="s">
        <v>534</v>
      </c>
      <c r="E78" s="39" t="s">
        <v>535</v>
      </c>
      <c r="F78" s="39" t="s">
        <v>324</v>
      </c>
      <c r="G78" s="39" t="s">
        <v>80</v>
      </c>
      <c r="H78" s="39" t="s">
        <v>182</v>
      </c>
      <c r="I78" s="40" t="n">
        <v>45370</v>
      </c>
      <c r="J78" s="40" t="n">
        <v>46205</v>
      </c>
      <c r="K78" s="33" t="n">
        <v>3</v>
      </c>
      <c r="L78" s="34" t="n">
        <v>4420</v>
      </c>
      <c r="M78" s="41" t="n">
        <f aca="false">IFERROR(L78/K78,0)</f>
        <v>1473.33333333333</v>
      </c>
      <c r="N78" s="39" t="s">
        <v>130</v>
      </c>
      <c r="O78" s="42" t="n">
        <f aca="false">IF(J78="","",AsOfDate-J78)</f>
        <v>90</v>
      </c>
      <c r="P78" s="43" t="str">
        <f aca="false">IF(A78="","",IF(AsOfDate-I78&lt;=90,"New",IF(AND(O78&lt;=180,L78&gt;=15000),"VIP",IF(O78&lt;=180,"Regular",IF(O78&lt;=365,"At risk","Lapsed")))))</f>
        <v>Regular</v>
      </c>
      <c r="Q78" s="43" t="str">
        <f aca="false">IF(D78="","Missing",IF(COUNTIF($D$2:$D$207,D78)&gt;1,"Duplicate",IF(AND(LEN(D78)-LEN(SUBSTITUTE(D78,"@",""))=1,ISNUMBER(SEARCH(".",D78,SEARCH("@",D78))),ISERROR(SEARCH(" ",D78))),"Valid","Invalid")))</f>
        <v>Valid</v>
      </c>
      <c r="R78" s="43" t="str">
        <f aca="false">IF(E78="","Missing",IF(COUNTIF($E$2:$E$207,E78)&gt;1,"Duplicate",IF(AND(LEN(E78)=16,LEFT(E78,5)="+63 9"),"Valid","Check")))</f>
        <v>Valid</v>
      </c>
      <c r="S78" s="43" t="str">
        <f aca="false">IF(AND(Q78="Valid",R78="Valid",N78&lt;&gt;""),"Complete","Needs follow-up")</f>
        <v>Complete</v>
      </c>
      <c r="T78" s="44" t="s">
        <v>536</v>
      </c>
    </row>
    <row r="79" customFormat="false" ht="18.75" hidden="false" customHeight="true" outlineLevel="0" collapsed="false">
      <c r="A79" s="38" t="s">
        <v>537</v>
      </c>
      <c r="B79" s="39" t="s">
        <v>116</v>
      </c>
      <c r="C79" s="39" t="s">
        <v>538</v>
      </c>
      <c r="D79" s="39" t="s">
        <v>539</v>
      </c>
      <c r="E79" s="39" t="s">
        <v>540</v>
      </c>
      <c r="F79" s="39" t="s">
        <v>163</v>
      </c>
      <c r="G79" s="39" t="s">
        <v>79</v>
      </c>
      <c r="H79" s="39" t="s">
        <v>129</v>
      </c>
      <c r="I79" s="40" t="n">
        <v>45375</v>
      </c>
      <c r="J79" s="40" t="n">
        <v>46099</v>
      </c>
      <c r="K79" s="33" t="n">
        <v>6</v>
      </c>
      <c r="L79" s="34" t="n">
        <v>6910</v>
      </c>
      <c r="M79" s="41" t="n">
        <f aca="false">IFERROR(L79/K79,0)</f>
        <v>1151.66666666667</v>
      </c>
      <c r="N79" s="39" t="s">
        <v>151</v>
      </c>
      <c r="O79" s="42" t="n">
        <f aca="false">IF(J79="","",AsOfDate-J79)</f>
        <v>196</v>
      </c>
      <c r="P79" s="43" t="str">
        <f aca="false">IF(A79="","",IF(AsOfDate-I79&lt;=90,"New",IF(AND(O79&lt;=180,L79&gt;=15000),"VIP",IF(O79&lt;=180,"Regular",IF(O79&lt;=365,"At risk","Lapsed")))))</f>
        <v>At risk</v>
      </c>
      <c r="Q79" s="43" t="str">
        <f aca="false">IF(D79="","Missing",IF(COUNTIF($D$2:$D$207,D79)&gt;1,"Duplicate",IF(AND(LEN(D79)-LEN(SUBSTITUTE(D79,"@",""))=1,ISNUMBER(SEARCH(".",D79,SEARCH("@",D79))),ISERROR(SEARCH(" ",D79))),"Valid","Invalid")))</f>
        <v>Valid</v>
      </c>
      <c r="R79" s="43" t="str">
        <f aca="false">IF(E79="","Missing",IF(COUNTIF($E$2:$E$207,E79)&gt;1,"Duplicate",IF(AND(LEN(E79)=16,LEFT(E79,5)="+63 9"),"Valid","Check")))</f>
        <v>Valid</v>
      </c>
      <c r="S79" s="43" t="str">
        <f aca="false">IF(AND(Q79="Valid",R79="Valid",N79&lt;&gt;""),"Complete","Needs follow-up")</f>
        <v>Complete</v>
      </c>
      <c r="T79" s="44" t="s">
        <v>541</v>
      </c>
    </row>
    <row r="80" customFormat="false" ht="18.75" hidden="false" customHeight="true" outlineLevel="0" collapsed="false">
      <c r="A80" s="38" t="s">
        <v>542</v>
      </c>
      <c r="B80" s="39" t="s">
        <v>242</v>
      </c>
      <c r="C80" s="39" t="s">
        <v>199</v>
      </c>
      <c r="D80" s="39" t="s">
        <v>543</v>
      </c>
      <c r="E80" s="39" t="s">
        <v>544</v>
      </c>
      <c r="F80" s="39" t="s">
        <v>128</v>
      </c>
      <c r="G80" s="39" t="s">
        <v>79</v>
      </c>
      <c r="H80" s="39" t="s">
        <v>129</v>
      </c>
      <c r="I80" s="40" t="n">
        <v>45376</v>
      </c>
      <c r="J80" s="40" t="n">
        <v>45722</v>
      </c>
      <c r="K80" s="33" t="n">
        <v>5</v>
      </c>
      <c r="L80" s="34" t="n">
        <v>5040</v>
      </c>
      <c r="M80" s="41" t="n">
        <f aca="false">IFERROR(L80/K80,0)</f>
        <v>1008</v>
      </c>
      <c r="N80" s="39" t="s">
        <v>151</v>
      </c>
      <c r="O80" s="42" t="n">
        <f aca="false">IF(J80="","",AsOfDate-J80)</f>
        <v>573</v>
      </c>
      <c r="P80" s="43" t="str">
        <f aca="false">IF(A80="","",IF(AsOfDate-I80&lt;=90,"New",IF(AND(O80&lt;=180,L80&gt;=15000),"VIP",IF(O80&lt;=180,"Regular",IF(O80&lt;=365,"At risk","Lapsed")))))</f>
        <v>Lapsed</v>
      </c>
      <c r="Q80" s="43" t="str">
        <f aca="false">IF(D80="","Missing",IF(COUNTIF($D$2:$D$207,D80)&gt;1,"Duplicate",IF(AND(LEN(D80)-LEN(SUBSTITUTE(D80,"@",""))=1,ISNUMBER(SEARCH(".",D80,SEARCH("@",D80))),ISERROR(SEARCH(" ",D80))),"Valid","Invalid")))</f>
        <v>Valid</v>
      </c>
      <c r="R80" s="43" t="str">
        <f aca="false">IF(E80="","Missing",IF(COUNTIF($E$2:$E$207,E80)&gt;1,"Duplicate",IF(AND(LEN(E80)=16,LEFT(E80,5)="+63 9"),"Valid","Check")))</f>
        <v>Valid</v>
      </c>
      <c r="S80" s="43" t="str">
        <f aca="false">IF(AND(Q80="Valid",R80="Valid",N80&lt;&gt;""),"Complete","Needs follow-up")</f>
        <v>Complete</v>
      </c>
      <c r="T80" s="44" t="s">
        <v>545</v>
      </c>
    </row>
    <row r="81" customFormat="false" ht="18.75" hidden="false" customHeight="true" outlineLevel="0" collapsed="false">
      <c r="A81" s="38" t="s">
        <v>546</v>
      </c>
      <c r="B81" s="39" t="s">
        <v>547</v>
      </c>
      <c r="C81" s="39" t="s">
        <v>366</v>
      </c>
      <c r="D81" s="39" t="s">
        <v>548</v>
      </c>
      <c r="E81" s="39" t="s">
        <v>549</v>
      </c>
      <c r="F81" s="39" t="s">
        <v>239</v>
      </c>
      <c r="G81" s="39" t="s">
        <v>79</v>
      </c>
      <c r="H81" s="39" t="s">
        <v>129</v>
      </c>
      <c r="I81" s="40" t="n">
        <v>45381</v>
      </c>
      <c r="J81" s="40" t="n">
        <v>46103</v>
      </c>
      <c r="K81" s="33" t="n">
        <v>6</v>
      </c>
      <c r="L81" s="34" t="n">
        <v>8340</v>
      </c>
      <c r="M81" s="41" t="n">
        <f aca="false">IFERROR(L81/K81,0)</f>
        <v>1390</v>
      </c>
      <c r="N81" s="39" t="s">
        <v>151</v>
      </c>
      <c r="O81" s="42" t="n">
        <f aca="false">IF(J81="","",AsOfDate-J81)</f>
        <v>192</v>
      </c>
      <c r="P81" s="43" t="str">
        <f aca="false">IF(A81="","",IF(AsOfDate-I81&lt;=90,"New",IF(AND(O81&lt;=180,L81&gt;=15000),"VIP",IF(O81&lt;=180,"Regular",IF(O81&lt;=365,"At risk","Lapsed")))))</f>
        <v>At risk</v>
      </c>
      <c r="Q81" s="43" t="str">
        <f aca="false">IF(D81="","Missing",IF(COUNTIF($D$2:$D$207,D81)&gt;1,"Duplicate",IF(AND(LEN(D81)-LEN(SUBSTITUTE(D81,"@",""))=1,ISNUMBER(SEARCH(".",D81,SEARCH("@",D81))),ISERROR(SEARCH(" ",D81))),"Valid","Invalid")))</f>
        <v>Valid</v>
      </c>
      <c r="R81" s="43" t="str">
        <f aca="false">IF(E81="","Missing",IF(COUNTIF($E$2:$E$207,E81)&gt;1,"Duplicate",IF(AND(LEN(E81)=16,LEFT(E81,5)="+63 9"),"Valid","Check")))</f>
        <v>Valid</v>
      </c>
      <c r="S81" s="43" t="str">
        <f aca="false">IF(AND(Q81="Valid",R81="Valid",N81&lt;&gt;""),"Complete","Needs follow-up")</f>
        <v>Complete</v>
      </c>
      <c r="T81" s="44" t="s">
        <v>550</v>
      </c>
    </row>
    <row r="82" customFormat="false" ht="18.75" hidden="false" customHeight="true" outlineLevel="0" collapsed="false">
      <c r="A82" s="38" t="s">
        <v>551</v>
      </c>
      <c r="B82" s="39" t="s">
        <v>552</v>
      </c>
      <c r="C82" s="39" t="s">
        <v>553</v>
      </c>
      <c r="D82" s="39" t="s">
        <v>554</v>
      </c>
      <c r="E82" s="39" t="s">
        <v>555</v>
      </c>
      <c r="F82" s="39" t="s">
        <v>128</v>
      </c>
      <c r="G82" s="39" t="s">
        <v>79</v>
      </c>
      <c r="H82" s="39" t="s">
        <v>312</v>
      </c>
      <c r="I82" s="40" t="n">
        <v>45385</v>
      </c>
      <c r="J82" s="40" t="n">
        <v>46253</v>
      </c>
      <c r="K82" s="33" t="n">
        <v>12</v>
      </c>
      <c r="L82" s="34" t="n">
        <v>11830</v>
      </c>
      <c r="M82" s="41" t="n">
        <f aca="false">IFERROR(L82/K82,0)</f>
        <v>985.833333333333</v>
      </c>
      <c r="N82" s="39" t="s">
        <v>151</v>
      </c>
      <c r="O82" s="42" t="n">
        <f aca="false">IF(J82="","",AsOfDate-J82)</f>
        <v>42</v>
      </c>
      <c r="P82" s="43" t="str">
        <f aca="false">IF(A82="","",IF(AsOfDate-I82&lt;=90,"New",IF(AND(O82&lt;=180,L82&gt;=15000),"VIP",IF(O82&lt;=180,"Regular",IF(O82&lt;=365,"At risk","Lapsed")))))</f>
        <v>Regular</v>
      </c>
      <c r="Q82" s="43" t="str">
        <f aca="false">IF(D82="","Missing",IF(COUNTIF($D$2:$D$207,D82)&gt;1,"Duplicate",IF(AND(LEN(D82)-LEN(SUBSTITUTE(D82,"@",""))=1,ISNUMBER(SEARCH(".",D82,SEARCH("@",D82))),ISERROR(SEARCH(" ",D82))),"Valid","Invalid")))</f>
        <v>Valid</v>
      </c>
      <c r="R82" s="43" t="str">
        <f aca="false">IF(E82="","Missing",IF(COUNTIF($E$2:$E$207,E82)&gt;1,"Duplicate",IF(AND(LEN(E82)=16,LEFT(E82,5)="+63 9"),"Valid","Check")))</f>
        <v>Valid</v>
      </c>
      <c r="S82" s="43" t="str">
        <f aca="false">IF(AND(Q82="Valid",R82="Valid",N82&lt;&gt;""),"Complete","Needs follow-up")</f>
        <v>Complete</v>
      </c>
      <c r="T82" s="44" t="s">
        <v>556</v>
      </c>
    </row>
    <row r="83" customFormat="false" ht="18.75" hidden="false" customHeight="true" outlineLevel="0" collapsed="false">
      <c r="A83" s="38" t="s">
        <v>557</v>
      </c>
      <c r="B83" s="39" t="s">
        <v>303</v>
      </c>
      <c r="C83" s="39" t="s">
        <v>147</v>
      </c>
      <c r="D83" s="39"/>
      <c r="E83" s="39" t="s">
        <v>558</v>
      </c>
      <c r="F83" s="39" t="s">
        <v>120</v>
      </c>
      <c r="G83" s="39" t="s">
        <v>80</v>
      </c>
      <c r="H83" s="39" t="s">
        <v>121</v>
      </c>
      <c r="I83" s="40" t="n">
        <v>45386</v>
      </c>
      <c r="J83" s="40" t="n">
        <v>46178</v>
      </c>
      <c r="K83" s="33" t="n">
        <v>5</v>
      </c>
      <c r="L83" s="34" t="n">
        <v>5200</v>
      </c>
      <c r="M83" s="41" t="n">
        <f aca="false">IFERROR(L83/K83,0)</f>
        <v>1040</v>
      </c>
      <c r="N83" s="39" t="s">
        <v>151</v>
      </c>
      <c r="O83" s="42" t="n">
        <f aca="false">IF(J83="","",AsOfDate-J83)</f>
        <v>117</v>
      </c>
      <c r="P83" s="43" t="str">
        <f aca="false">IF(A83="","",IF(AsOfDate-I83&lt;=90,"New",IF(AND(O83&lt;=180,L83&gt;=15000),"VIP",IF(O83&lt;=180,"Regular",IF(O83&lt;=365,"At risk","Lapsed")))))</f>
        <v>Regular</v>
      </c>
      <c r="Q83" s="43" t="str">
        <f aca="false">IF(D83="","Missing",IF(COUNTIF($D$2:$D$207,D83)&gt;1,"Duplicate",IF(AND(LEN(D83)-LEN(SUBSTITUTE(D83,"@",""))=1,ISNUMBER(SEARCH(".",D83,SEARCH("@",D83))),ISERROR(SEARCH(" ",D83))),"Valid","Invalid")))</f>
        <v>Missing</v>
      </c>
      <c r="R83" s="43" t="str">
        <f aca="false">IF(E83="","Missing",IF(COUNTIF($E$2:$E$207,E83)&gt;1,"Duplicate",IF(AND(LEN(E83)=16,LEFT(E83,5)="+63 9"),"Valid","Check")))</f>
        <v>Valid</v>
      </c>
      <c r="S83" s="43" t="str">
        <f aca="false">IF(AND(Q83="Valid",R83="Valid",N83&lt;&gt;""),"Complete","Needs follow-up")</f>
        <v>Needs follow-up</v>
      </c>
      <c r="T83" s="44" t="s">
        <v>559</v>
      </c>
    </row>
    <row r="84" customFormat="false" ht="18.75" hidden="false" customHeight="true" outlineLevel="0" collapsed="false">
      <c r="A84" s="38" t="s">
        <v>560</v>
      </c>
      <c r="B84" s="39" t="s">
        <v>360</v>
      </c>
      <c r="C84" s="39" t="s">
        <v>147</v>
      </c>
      <c r="D84" s="39" t="s">
        <v>561</v>
      </c>
      <c r="E84" s="39" t="s">
        <v>562</v>
      </c>
      <c r="F84" s="39" t="s">
        <v>128</v>
      </c>
      <c r="G84" s="39" t="s">
        <v>79</v>
      </c>
      <c r="H84" s="39" t="s">
        <v>121</v>
      </c>
      <c r="I84" s="40" t="n">
        <v>45387</v>
      </c>
      <c r="J84" s="40" t="n">
        <v>46249</v>
      </c>
      <c r="K84" s="33" t="n">
        <v>9</v>
      </c>
      <c r="L84" s="34" t="n">
        <v>6250</v>
      </c>
      <c r="M84" s="41" t="n">
        <f aca="false">IFERROR(L84/K84,0)</f>
        <v>694.444444444445</v>
      </c>
      <c r="N84" s="39" t="s">
        <v>151</v>
      </c>
      <c r="O84" s="42" t="n">
        <f aca="false">IF(J84="","",AsOfDate-J84)</f>
        <v>46</v>
      </c>
      <c r="P84" s="43" t="str">
        <f aca="false">IF(A84="","",IF(AsOfDate-I84&lt;=90,"New",IF(AND(O84&lt;=180,L84&gt;=15000),"VIP",IF(O84&lt;=180,"Regular",IF(O84&lt;=365,"At risk","Lapsed")))))</f>
        <v>Regular</v>
      </c>
      <c r="Q84" s="43" t="str">
        <f aca="false">IF(D84="","Missing",IF(COUNTIF($D$2:$D$207,D84)&gt;1,"Duplicate",IF(AND(LEN(D84)-LEN(SUBSTITUTE(D84,"@",""))=1,ISNUMBER(SEARCH(".",D84,SEARCH("@",D84))),ISERROR(SEARCH(" ",D84))),"Valid","Invalid")))</f>
        <v>Valid</v>
      </c>
      <c r="R84" s="43" t="str">
        <f aca="false">IF(E84="","Missing",IF(COUNTIF($E$2:$E$207,E84)&gt;1,"Duplicate",IF(AND(LEN(E84)=16,LEFT(E84,5)="+63 9"),"Valid","Check")))</f>
        <v>Valid</v>
      </c>
      <c r="S84" s="43" t="str">
        <f aca="false">IF(AND(Q84="Valid",R84="Valid",N84&lt;&gt;""),"Complete","Needs follow-up")</f>
        <v>Complete</v>
      </c>
      <c r="T84" s="44" t="s">
        <v>563</v>
      </c>
    </row>
    <row r="85" customFormat="false" ht="18.75" hidden="false" customHeight="true" outlineLevel="0" collapsed="false">
      <c r="A85" s="38" t="s">
        <v>564</v>
      </c>
      <c r="B85" s="39" t="s">
        <v>565</v>
      </c>
      <c r="C85" s="39" t="s">
        <v>141</v>
      </c>
      <c r="D85" s="39" t="s">
        <v>566</v>
      </c>
      <c r="E85" s="39" t="s">
        <v>567</v>
      </c>
      <c r="F85" s="39" t="s">
        <v>128</v>
      </c>
      <c r="G85" s="39" t="s">
        <v>79</v>
      </c>
      <c r="H85" s="39" t="s">
        <v>121</v>
      </c>
      <c r="I85" s="40" t="n">
        <v>45387</v>
      </c>
      <c r="J85" s="40" t="n">
        <v>45562</v>
      </c>
      <c r="K85" s="33" t="n">
        <v>5</v>
      </c>
      <c r="L85" s="34" t="n">
        <v>4740</v>
      </c>
      <c r="M85" s="41" t="n">
        <f aca="false">IFERROR(L85/K85,0)</f>
        <v>948</v>
      </c>
      <c r="N85" s="39" t="s">
        <v>151</v>
      </c>
      <c r="O85" s="42" t="n">
        <f aca="false">IF(J85="","",AsOfDate-J85)</f>
        <v>733</v>
      </c>
      <c r="P85" s="43" t="str">
        <f aca="false">IF(A85="","",IF(AsOfDate-I85&lt;=90,"New",IF(AND(O85&lt;=180,L85&gt;=15000),"VIP",IF(O85&lt;=180,"Regular",IF(O85&lt;=365,"At risk","Lapsed")))))</f>
        <v>Lapsed</v>
      </c>
      <c r="Q85" s="43" t="str">
        <f aca="false">IF(D85="","Missing",IF(COUNTIF($D$2:$D$207,D85)&gt;1,"Duplicate",IF(AND(LEN(D85)-LEN(SUBSTITUTE(D85,"@",""))=1,ISNUMBER(SEARCH(".",D85,SEARCH("@",D85))),ISERROR(SEARCH(" ",D85))),"Valid","Invalid")))</f>
        <v>Valid</v>
      </c>
      <c r="R85" s="43" t="str">
        <f aca="false">IF(E85="","Missing",IF(COUNTIF($E$2:$E$207,E85)&gt;1,"Duplicate",IF(AND(LEN(E85)=16,LEFT(E85,5)="+63 9"),"Valid","Check")))</f>
        <v>Valid</v>
      </c>
      <c r="S85" s="43" t="str">
        <f aca="false">IF(AND(Q85="Valid",R85="Valid",N85&lt;&gt;""),"Complete","Needs follow-up")</f>
        <v>Complete</v>
      </c>
      <c r="T85" s="44" t="s">
        <v>568</v>
      </c>
    </row>
    <row r="86" customFormat="false" ht="18.75" hidden="false" customHeight="true" outlineLevel="0" collapsed="false">
      <c r="A86" s="38" t="s">
        <v>569</v>
      </c>
      <c r="B86" s="39" t="s">
        <v>272</v>
      </c>
      <c r="C86" s="39" t="s">
        <v>570</v>
      </c>
      <c r="D86" s="39" t="s">
        <v>571</v>
      </c>
      <c r="E86" s="39" t="s">
        <v>572</v>
      </c>
      <c r="F86" s="39" t="s">
        <v>128</v>
      </c>
      <c r="G86" s="39" t="s">
        <v>79</v>
      </c>
      <c r="H86" s="39" t="s">
        <v>129</v>
      </c>
      <c r="I86" s="40" t="n">
        <v>45390</v>
      </c>
      <c r="J86" s="40" t="n">
        <v>46271</v>
      </c>
      <c r="K86" s="33" t="n">
        <v>31</v>
      </c>
      <c r="L86" s="34" t="n">
        <v>42720</v>
      </c>
      <c r="M86" s="41" t="n">
        <f aca="false">IFERROR(L86/K86,0)</f>
        <v>1378.06451612903</v>
      </c>
      <c r="N86" s="39" t="s">
        <v>130</v>
      </c>
      <c r="O86" s="42" t="n">
        <f aca="false">IF(J86="","",AsOfDate-J86)</f>
        <v>24</v>
      </c>
      <c r="P86" s="43" t="str">
        <f aca="false">IF(A86="","",IF(AsOfDate-I86&lt;=90,"New",IF(AND(O86&lt;=180,L86&gt;=15000),"VIP",IF(O86&lt;=180,"Regular",IF(O86&lt;=365,"At risk","Lapsed")))))</f>
        <v>VIP</v>
      </c>
      <c r="Q86" s="43" t="str">
        <f aca="false">IF(D86="","Missing",IF(COUNTIF($D$2:$D$207,D86)&gt;1,"Duplicate",IF(AND(LEN(D86)-LEN(SUBSTITUTE(D86,"@",""))=1,ISNUMBER(SEARCH(".",D86,SEARCH("@",D86))),ISERROR(SEARCH(" ",D86))),"Valid","Invalid")))</f>
        <v>Valid</v>
      </c>
      <c r="R86" s="43" t="str">
        <f aca="false">IF(E86="","Missing",IF(COUNTIF($E$2:$E$207,E86)&gt;1,"Duplicate",IF(AND(LEN(E86)=16,LEFT(E86,5)="+63 9"),"Valid","Check")))</f>
        <v>Valid</v>
      </c>
      <c r="S86" s="43" t="str">
        <f aca="false">IF(AND(Q86="Valid",R86="Valid",N86&lt;&gt;""),"Complete","Needs follow-up")</f>
        <v>Complete</v>
      </c>
      <c r="T86" s="44" t="s">
        <v>573</v>
      </c>
    </row>
    <row r="87" customFormat="false" ht="18.75" hidden="false" customHeight="true" outlineLevel="0" collapsed="false">
      <c r="A87" s="38" t="s">
        <v>574</v>
      </c>
      <c r="B87" s="39" t="s">
        <v>575</v>
      </c>
      <c r="C87" s="39" t="s">
        <v>576</v>
      </c>
      <c r="D87" s="39" t="s">
        <v>577</v>
      </c>
      <c r="E87" s="39" t="s">
        <v>578</v>
      </c>
      <c r="F87" s="39" t="s">
        <v>257</v>
      </c>
      <c r="G87" s="39" t="s">
        <v>81</v>
      </c>
      <c r="H87" s="39" t="s">
        <v>129</v>
      </c>
      <c r="I87" s="40" t="n">
        <v>45391</v>
      </c>
      <c r="J87" s="40" t="n">
        <v>45827</v>
      </c>
      <c r="K87" s="33" t="n">
        <v>3</v>
      </c>
      <c r="L87" s="34" t="n">
        <v>3800</v>
      </c>
      <c r="M87" s="41" t="n">
        <f aca="false">IFERROR(L87/K87,0)</f>
        <v>1266.66666666667</v>
      </c>
      <c r="N87" s="39" t="s">
        <v>151</v>
      </c>
      <c r="O87" s="42" t="n">
        <f aca="false">IF(J87="","",AsOfDate-J87)</f>
        <v>468</v>
      </c>
      <c r="P87" s="43" t="str">
        <f aca="false">IF(A87="","",IF(AsOfDate-I87&lt;=90,"New",IF(AND(O87&lt;=180,L87&gt;=15000),"VIP",IF(O87&lt;=180,"Regular",IF(O87&lt;=365,"At risk","Lapsed")))))</f>
        <v>Lapsed</v>
      </c>
      <c r="Q87" s="43" t="str">
        <f aca="false">IF(D87="","Missing",IF(COUNTIF($D$2:$D$207,D87)&gt;1,"Duplicate",IF(AND(LEN(D87)-LEN(SUBSTITUTE(D87,"@",""))=1,ISNUMBER(SEARCH(".",D87,SEARCH("@",D87))),ISERROR(SEARCH(" ",D87))),"Valid","Invalid")))</f>
        <v>Valid</v>
      </c>
      <c r="R87" s="43" t="str">
        <f aca="false">IF(E87="","Missing",IF(COUNTIF($E$2:$E$207,E87)&gt;1,"Duplicate",IF(AND(LEN(E87)=16,LEFT(E87,5)="+63 9"),"Valid","Check")))</f>
        <v>Valid</v>
      </c>
      <c r="S87" s="43" t="str">
        <f aca="false">IF(AND(Q87="Valid",R87="Valid",N87&lt;&gt;""),"Complete","Needs follow-up")</f>
        <v>Complete</v>
      </c>
      <c r="T87" s="44" t="s">
        <v>579</v>
      </c>
    </row>
    <row r="88" customFormat="false" ht="18.75" hidden="false" customHeight="true" outlineLevel="0" collapsed="false">
      <c r="A88" s="38" t="s">
        <v>580</v>
      </c>
      <c r="B88" s="39" t="s">
        <v>315</v>
      </c>
      <c r="C88" s="39" t="s">
        <v>395</v>
      </c>
      <c r="D88" s="39" t="s">
        <v>581</v>
      </c>
      <c r="E88" s="39" t="s">
        <v>582</v>
      </c>
      <c r="F88" s="39" t="s">
        <v>128</v>
      </c>
      <c r="G88" s="39" t="s">
        <v>79</v>
      </c>
      <c r="H88" s="39" t="s">
        <v>129</v>
      </c>
      <c r="I88" s="40" t="n">
        <v>45393</v>
      </c>
      <c r="J88" s="40" t="n">
        <v>45411</v>
      </c>
      <c r="K88" s="33" t="n">
        <v>4</v>
      </c>
      <c r="L88" s="34" t="n">
        <v>2760</v>
      </c>
      <c r="M88" s="41" t="n">
        <f aca="false">IFERROR(L88/K88,0)</f>
        <v>690</v>
      </c>
      <c r="N88" s="39" t="s">
        <v>130</v>
      </c>
      <c r="O88" s="42" t="n">
        <f aca="false">IF(J88="","",AsOfDate-J88)</f>
        <v>884</v>
      </c>
      <c r="P88" s="43" t="str">
        <f aca="false">IF(A88="","",IF(AsOfDate-I88&lt;=90,"New",IF(AND(O88&lt;=180,L88&gt;=15000),"VIP",IF(O88&lt;=180,"Regular",IF(O88&lt;=365,"At risk","Lapsed")))))</f>
        <v>Lapsed</v>
      </c>
      <c r="Q88" s="43" t="str">
        <f aca="false">IF(D88="","Missing",IF(COUNTIF($D$2:$D$207,D88)&gt;1,"Duplicate",IF(AND(LEN(D88)-LEN(SUBSTITUTE(D88,"@",""))=1,ISNUMBER(SEARCH(".",D88,SEARCH("@",D88))),ISERROR(SEARCH(" ",D88))),"Valid","Invalid")))</f>
        <v>Valid</v>
      </c>
      <c r="R88" s="43" t="str">
        <f aca="false">IF(E88="","Missing",IF(COUNTIF($E$2:$E$207,E88)&gt;1,"Duplicate",IF(AND(LEN(E88)=16,LEFT(E88,5)="+63 9"),"Valid","Check")))</f>
        <v>Valid</v>
      </c>
      <c r="S88" s="43" t="str">
        <f aca="false">IF(AND(Q88="Valid",R88="Valid",N88&lt;&gt;""),"Complete","Needs follow-up")</f>
        <v>Complete</v>
      </c>
      <c r="T88" s="44" t="s">
        <v>583</v>
      </c>
    </row>
    <row r="89" customFormat="false" ht="18.75" hidden="false" customHeight="true" outlineLevel="0" collapsed="false">
      <c r="A89" s="38" t="s">
        <v>584</v>
      </c>
      <c r="B89" s="39" t="s">
        <v>464</v>
      </c>
      <c r="C89" s="39" t="s">
        <v>435</v>
      </c>
      <c r="D89" s="39" t="s">
        <v>585</v>
      </c>
      <c r="E89" s="39" t="s">
        <v>586</v>
      </c>
      <c r="F89" s="39" t="s">
        <v>257</v>
      </c>
      <c r="G89" s="39" t="s">
        <v>81</v>
      </c>
      <c r="H89" s="39" t="s">
        <v>285</v>
      </c>
      <c r="I89" s="40" t="n">
        <v>45394</v>
      </c>
      <c r="J89" s="40" t="n">
        <v>46251</v>
      </c>
      <c r="K89" s="33" t="n">
        <v>13</v>
      </c>
      <c r="L89" s="34" t="n">
        <v>21720</v>
      </c>
      <c r="M89" s="41" t="n">
        <f aca="false">IFERROR(L89/K89,0)</f>
        <v>1670.76923076923</v>
      </c>
      <c r="N89" s="39" t="s">
        <v>151</v>
      </c>
      <c r="O89" s="42" t="n">
        <f aca="false">IF(J89="","",AsOfDate-J89)</f>
        <v>44</v>
      </c>
      <c r="P89" s="43" t="str">
        <f aca="false">IF(A89="","",IF(AsOfDate-I89&lt;=90,"New",IF(AND(O89&lt;=180,L89&gt;=15000),"VIP",IF(O89&lt;=180,"Regular",IF(O89&lt;=365,"At risk","Lapsed")))))</f>
        <v>VIP</v>
      </c>
      <c r="Q89" s="43" t="str">
        <f aca="false">IF(D89="","Missing",IF(COUNTIF($D$2:$D$207,D89)&gt;1,"Duplicate",IF(AND(LEN(D89)-LEN(SUBSTITUTE(D89,"@",""))=1,ISNUMBER(SEARCH(".",D89,SEARCH("@",D89))),ISERROR(SEARCH(" ",D89))),"Valid","Invalid")))</f>
        <v>Valid</v>
      </c>
      <c r="R89" s="43" t="str">
        <f aca="false">IF(E89="","Missing",IF(COUNTIF($E$2:$E$207,E89)&gt;1,"Duplicate",IF(AND(LEN(E89)=16,LEFT(E89,5)="+63 9"),"Valid","Check")))</f>
        <v>Valid</v>
      </c>
      <c r="S89" s="43" t="str">
        <f aca="false">IF(AND(Q89="Valid",R89="Valid",N89&lt;&gt;""),"Complete","Needs follow-up")</f>
        <v>Complete</v>
      </c>
      <c r="T89" s="44" t="s">
        <v>587</v>
      </c>
    </row>
    <row r="90" customFormat="false" ht="18.75" hidden="false" customHeight="true" outlineLevel="0" collapsed="false">
      <c r="A90" s="38" t="s">
        <v>588</v>
      </c>
      <c r="B90" s="39" t="s">
        <v>459</v>
      </c>
      <c r="C90" s="39" t="s">
        <v>349</v>
      </c>
      <c r="D90" s="39" t="s">
        <v>589</v>
      </c>
      <c r="E90" s="39" t="s">
        <v>590</v>
      </c>
      <c r="F90" s="39" t="s">
        <v>128</v>
      </c>
      <c r="G90" s="39" t="s">
        <v>79</v>
      </c>
      <c r="H90" s="39" t="s">
        <v>129</v>
      </c>
      <c r="I90" s="40" t="n">
        <v>45398</v>
      </c>
      <c r="J90" s="40" t="n">
        <v>46286</v>
      </c>
      <c r="K90" s="33" t="n">
        <v>20</v>
      </c>
      <c r="L90" s="34" t="n">
        <v>21880</v>
      </c>
      <c r="M90" s="41" t="n">
        <f aca="false">IFERROR(L90/K90,0)</f>
        <v>1094</v>
      </c>
      <c r="N90" s="39" t="s">
        <v>151</v>
      </c>
      <c r="O90" s="42" t="n">
        <f aca="false">IF(J90="","",AsOfDate-J90)</f>
        <v>9</v>
      </c>
      <c r="P90" s="43" t="str">
        <f aca="false">IF(A90="","",IF(AsOfDate-I90&lt;=90,"New",IF(AND(O90&lt;=180,L90&gt;=15000),"VIP",IF(O90&lt;=180,"Regular",IF(O90&lt;=365,"At risk","Lapsed")))))</f>
        <v>VIP</v>
      </c>
      <c r="Q90" s="43" t="str">
        <f aca="false">IF(D90="","Missing",IF(COUNTIF($D$2:$D$207,D90)&gt;1,"Duplicate",IF(AND(LEN(D90)-LEN(SUBSTITUTE(D90,"@",""))=1,ISNUMBER(SEARCH(".",D90,SEARCH("@",D90))),ISERROR(SEARCH(" ",D90))),"Valid","Invalid")))</f>
        <v>Valid</v>
      </c>
      <c r="R90" s="43" t="str">
        <f aca="false">IF(E90="","Missing",IF(COUNTIF($E$2:$E$207,E90)&gt;1,"Duplicate",IF(AND(LEN(E90)=16,LEFT(E90,5)="+63 9"),"Valid","Check")))</f>
        <v>Valid</v>
      </c>
      <c r="S90" s="43" t="str">
        <f aca="false">IF(AND(Q90="Valid",R90="Valid",N90&lt;&gt;""),"Complete","Needs follow-up")</f>
        <v>Complete</v>
      </c>
      <c r="T90" s="44" t="s">
        <v>591</v>
      </c>
    </row>
    <row r="91" customFormat="false" ht="18.75" hidden="false" customHeight="true" outlineLevel="0" collapsed="false">
      <c r="A91" s="38" t="s">
        <v>592</v>
      </c>
      <c r="B91" s="39" t="s">
        <v>235</v>
      </c>
      <c r="C91" s="39" t="s">
        <v>366</v>
      </c>
      <c r="D91" s="39" t="s">
        <v>593</v>
      </c>
      <c r="E91" s="39" t="s">
        <v>594</v>
      </c>
      <c r="F91" s="39" t="s">
        <v>150</v>
      </c>
      <c r="G91" s="39" t="s">
        <v>80</v>
      </c>
      <c r="H91" s="39" t="s">
        <v>121</v>
      </c>
      <c r="I91" s="40" t="n">
        <v>45404</v>
      </c>
      <c r="J91" s="40" t="n">
        <v>45969</v>
      </c>
      <c r="K91" s="33" t="n">
        <v>2</v>
      </c>
      <c r="L91" s="34" t="n">
        <v>3700</v>
      </c>
      <c r="M91" s="41" t="n">
        <f aca="false">IFERROR(L91/K91,0)</f>
        <v>1850</v>
      </c>
      <c r="N91" s="39" t="s">
        <v>151</v>
      </c>
      <c r="O91" s="42" t="n">
        <f aca="false">IF(J91="","",AsOfDate-J91)</f>
        <v>326</v>
      </c>
      <c r="P91" s="43" t="str">
        <f aca="false">IF(A91="","",IF(AsOfDate-I91&lt;=90,"New",IF(AND(O91&lt;=180,L91&gt;=15000),"VIP",IF(O91&lt;=180,"Regular",IF(O91&lt;=365,"At risk","Lapsed")))))</f>
        <v>At risk</v>
      </c>
      <c r="Q91" s="43" t="str">
        <f aca="false">IF(D91="","Missing",IF(COUNTIF($D$2:$D$207,D91)&gt;1,"Duplicate",IF(AND(LEN(D91)-LEN(SUBSTITUTE(D91,"@",""))=1,ISNUMBER(SEARCH(".",D91,SEARCH("@",D91))),ISERROR(SEARCH(" ",D91))),"Valid","Invalid")))</f>
        <v>Valid</v>
      </c>
      <c r="R91" s="43" t="str">
        <f aca="false">IF(E91="","Missing",IF(COUNTIF($E$2:$E$207,E91)&gt;1,"Duplicate",IF(AND(LEN(E91)=16,LEFT(E91,5)="+63 9"),"Valid","Check")))</f>
        <v>Valid</v>
      </c>
      <c r="S91" s="43" t="str">
        <f aca="false">IF(AND(Q91="Valid",R91="Valid",N91&lt;&gt;""),"Complete","Needs follow-up")</f>
        <v>Complete</v>
      </c>
      <c r="T91" s="44" t="s">
        <v>595</v>
      </c>
    </row>
    <row r="92" customFormat="false" ht="18.75" hidden="false" customHeight="true" outlineLevel="0" collapsed="false">
      <c r="A92" s="38" t="s">
        <v>596</v>
      </c>
      <c r="B92" s="39" t="s">
        <v>406</v>
      </c>
      <c r="C92" s="39" t="s">
        <v>193</v>
      </c>
      <c r="D92" s="39" t="s">
        <v>597</v>
      </c>
      <c r="E92" s="39" t="s">
        <v>598</v>
      </c>
      <c r="F92" s="39" t="s">
        <v>120</v>
      </c>
      <c r="G92" s="39" t="s">
        <v>80</v>
      </c>
      <c r="H92" s="39" t="s">
        <v>164</v>
      </c>
      <c r="I92" s="40" t="n">
        <v>45410</v>
      </c>
      <c r="J92" s="40" t="n">
        <v>46203</v>
      </c>
      <c r="K92" s="33" t="n">
        <v>8</v>
      </c>
      <c r="L92" s="34" t="n">
        <v>11260</v>
      </c>
      <c r="M92" s="41" t="n">
        <f aca="false">IFERROR(L92/K92,0)</f>
        <v>1407.5</v>
      </c>
      <c r="N92" s="39" t="s">
        <v>151</v>
      </c>
      <c r="O92" s="42" t="n">
        <f aca="false">IF(J92="","",AsOfDate-J92)</f>
        <v>92</v>
      </c>
      <c r="P92" s="43" t="str">
        <f aca="false">IF(A92="","",IF(AsOfDate-I92&lt;=90,"New",IF(AND(O92&lt;=180,L92&gt;=15000),"VIP",IF(O92&lt;=180,"Regular",IF(O92&lt;=365,"At risk","Lapsed")))))</f>
        <v>Regular</v>
      </c>
      <c r="Q92" s="43" t="str">
        <f aca="false">IF(D92="","Missing",IF(COUNTIF($D$2:$D$207,D92)&gt;1,"Duplicate",IF(AND(LEN(D92)-LEN(SUBSTITUTE(D92,"@",""))=1,ISNUMBER(SEARCH(".",D92,SEARCH("@",D92))),ISERROR(SEARCH(" ",D92))),"Valid","Invalid")))</f>
        <v>Valid</v>
      </c>
      <c r="R92" s="43" t="str">
        <f aca="false">IF(E92="","Missing",IF(COUNTIF($E$2:$E$207,E92)&gt;1,"Duplicate",IF(AND(LEN(E92)=16,LEFT(E92,5)="+63 9"),"Valid","Check")))</f>
        <v>Valid</v>
      </c>
      <c r="S92" s="43" t="str">
        <f aca="false">IF(AND(Q92="Valid",R92="Valid",N92&lt;&gt;""),"Complete","Needs follow-up")</f>
        <v>Complete</v>
      </c>
      <c r="T92" s="44" t="s">
        <v>599</v>
      </c>
    </row>
    <row r="93" customFormat="false" ht="18.75" hidden="false" customHeight="true" outlineLevel="0" collapsed="false">
      <c r="A93" s="38" t="s">
        <v>600</v>
      </c>
      <c r="B93" s="39" t="s">
        <v>476</v>
      </c>
      <c r="C93" s="39" t="s">
        <v>309</v>
      </c>
      <c r="D93" s="39" t="s">
        <v>601</v>
      </c>
      <c r="E93" s="39" t="s">
        <v>602</v>
      </c>
      <c r="F93" s="39" t="s">
        <v>239</v>
      </c>
      <c r="G93" s="39" t="s">
        <v>79</v>
      </c>
      <c r="H93" s="39" t="s">
        <v>164</v>
      </c>
      <c r="I93" s="40" t="n">
        <v>45412</v>
      </c>
      <c r="J93" s="40" t="n">
        <v>45942</v>
      </c>
      <c r="K93" s="33" t="n">
        <v>7</v>
      </c>
      <c r="L93" s="34" t="n">
        <v>10060</v>
      </c>
      <c r="M93" s="41" t="n">
        <f aca="false">IFERROR(L93/K93,0)</f>
        <v>1437.14285714286</v>
      </c>
      <c r="N93" s="39" t="s">
        <v>151</v>
      </c>
      <c r="O93" s="42" t="n">
        <f aca="false">IF(J93="","",AsOfDate-J93)</f>
        <v>353</v>
      </c>
      <c r="P93" s="43" t="str">
        <f aca="false">IF(A93="","",IF(AsOfDate-I93&lt;=90,"New",IF(AND(O93&lt;=180,L93&gt;=15000),"VIP",IF(O93&lt;=180,"Regular",IF(O93&lt;=365,"At risk","Lapsed")))))</f>
        <v>At risk</v>
      </c>
      <c r="Q93" s="43" t="str">
        <f aca="false">IF(D93="","Missing",IF(COUNTIF($D$2:$D$207,D93)&gt;1,"Duplicate",IF(AND(LEN(D93)-LEN(SUBSTITUTE(D93,"@",""))=1,ISNUMBER(SEARCH(".",D93,SEARCH("@",D93))),ISERROR(SEARCH(" ",D93))),"Valid","Invalid")))</f>
        <v>Valid</v>
      </c>
      <c r="R93" s="43" t="str">
        <f aca="false">IF(E93="","Missing",IF(COUNTIF($E$2:$E$207,E93)&gt;1,"Duplicate",IF(AND(LEN(E93)=16,LEFT(E93,5)="+63 9"),"Valid","Check")))</f>
        <v>Valid</v>
      </c>
      <c r="S93" s="43" t="str">
        <f aca="false">IF(AND(Q93="Valid",R93="Valid",N93&lt;&gt;""),"Complete","Needs follow-up")</f>
        <v>Complete</v>
      </c>
      <c r="T93" s="44" t="s">
        <v>603</v>
      </c>
    </row>
    <row r="94" customFormat="false" ht="18.75" hidden="false" customHeight="true" outlineLevel="0" collapsed="false">
      <c r="A94" s="38" t="s">
        <v>604</v>
      </c>
      <c r="B94" s="39" t="s">
        <v>605</v>
      </c>
      <c r="C94" s="39" t="s">
        <v>606</v>
      </c>
      <c r="D94" s="39" t="s">
        <v>607</v>
      </c>
      <c r="E94" s="39" t="s">
        <v>608</v>
      </c>
      <c r="F94" s="39" t="s">
        <v>128</v>
      </c>
      <c r="G94" s="39" t="s">
        <v>79</v>
      </c>
      <c r="H94" s="39" t="s">
        <v>285</v>
      </c>
      <c r="I94" s="40" t="n">
        <v>45418</v>
      </c>
      <c r="J94" s="40" t="n">
        <v>46211</v>
      </c>
      <c r="K94" s="33" t="n">
        <v>18</v>
      </c>
      <c r="L94" s="34" t="n">
        <v>20540</v>
      </c>
      <c r="M94" s="41" t="n">
        <f aca="false">IFERROR(L94/K94,0)</f>
        <v>1141.11111111111</v>
      </c>
      <c r="N94" s="39" t="s">
        <v>151</v>
      </c>
      <c r="O94" s="42" t="n">
        <f aca="false">IF(J94="","",AsOfDate-J94)</f>
        <v>84</v>
      </c>
      <c r="P94" s="43" t="str">
        <f aca="false">IF(A94="","",IF(AsOfDate-I94&lt;=90,"New",IF(AND(O94&lt;=180,L94&gt;=15000),"VIP",IF(O94&lt;=180,"Regular",IF(O94&lt;=365,"At risk","Lapsed")))))</f>
        <v>VIP</v>
      </c>
      <c r="Q94" s="43" t="str">
        <f aca="false">IF(D94="","Missing",IF(COUNTIF($D$2:$D$207,D94)&gt;1,"Duplicate",IF(AND(LEN(D94)-LEN(SUBSTITUTE(D94,"@",""))=1,ISNUMBER(SEARCH(".",D94,SEARCH("@",D94))),ISERROR(SEARCH(" ",D94))),"Valid","Invalid")))</f>
        <v>Valid</v>
      </c>
      <c r="R94" s="43" t="str">
        <f aca="false">IF(E94="","Missing",IF(COUNTIF($E$2:$E$207,E94)&gt;1,"Duplicate",IF(AND(LEN(E94)=16,LEFT(E94,5)="+63 9"),"Valid","Check")))</f>
        <v>Valid</v>
      </c>
      <c r="S94" s="43" t="str">
        <f aca="false">IF(AND(Q94="Valid",R94="Valid",N94&lt;&gt;""),"Complete","Needs follow-up")</f>
        <v>Complete</v>
      </c>
      <c r="T94" s="44" t="s">
        <v>609</v>
      </c>
    </row>
    <row r="95" customFormat="false" ht="18.75" hidden="false" customHeight="true" outlineLevel="0" collapsed="false">
      <c r="A95" s="38" t="s">
        <v>610</v>
      </c>
      <c r="B95" s="39" t="s">
        <v>611</v>
      </c>
      <c r="C95" s="39" t="s">
        <v>612</v>
      </c>
      <c r="D95" s="39" t="s">
        <v>613</v>
      </c>
      <c r="E95" s="39" t="s">
        <v>614</v>
      </c>
      <c r="F95" s="39" t="s">
        <v>128</v>
      </c>
      <c r="G95" s="39" t="s">
        <v>79</v>
      </c>
      <c r="H95" s="39" t="s">
        <v>129</v>
      </c>
      <c r="I95" s="40" t="n">
        <v>45418</v>
      </c>
      <c r="J95" s="40" t="n">
        <v>45505</v>
      </c>
      <c r="K95" s="33" t="n">
        <v>2</v>
      </c>
      <c r="L95" s="34" t="n">
        <v>2240</v>
      </c>
      <c r="M95" s="41" t="n">
        <f aca="false">IFERROR(L95/K95,0)</f>
        <v>1120</v>
      </c>
      <c r="N95" s="39" t="s">
        <v>151</v>
      </c>
      <c r="O95" s="42" t="n">
        <f aca="false">IF(J95="","",AsOfDate-J95)</f>
        <v>790</v>
      </c>
      <c r="P95" s="43" t="str">
        <f aca="false">IF(A95="","",IF(AsOfDate-I95&lt;=90,"New",IF(AND(O95&lt;=180,L95&gt;=15000),"VIP",IF(O95&lt;=180,"Regular",IF(O95&lt;=365,"At risk","Lapsed")))))</f>
        <v>Lapsed</v>
      </c>
      <c r="Q95" s="43" t="str">
        <f aca="false">IF(D95="","Missing",IF(COUNTIF($D$2:$D$207,D95)&gt;1,"Duplicate",IF(AND(LEN(D95)-LEN(SUBSTITUTE(D95,"@",""))=1,ISNUMBER(SEARCH(".",D95,SEARCH("@",D95))),ISERROR(SEARCH(" ",D95))),"Valid","Invalid")))</f>
        <v>Valid</v>
      </c>
      <c r="R95" s="43" t="str">
        <f aca="false">IF(E95="","Missing",IF(COUNTIF($E$2:$E$207,E95)&gt;1,"Duplicate",IF(AND(LEN(E95)=16,LEFT(E95,5)="+63 9"),"Valid","Check")))</f>
        <v>Valid</v>
      </c>
      <c r="S95" s="43" t="str">
        <f aca="false">IF(AND(Q95="Valid",R95="Valid",N95&lt;&gt;""),"Complete","Needs follow-up")</f>
        <v>Complete</v>
      </c>
      <c r="T95" s="44" t="s">
        <v>615</v>
      </c>
    </row>
    <row r="96" customFormat="false" ht="18.75" hidden="false" customHeight="true" outlineLevel="0" collapsed="false">
      <c r="A96" s="38" t="s">
        <v>616</v>
      </c>
      <c r="B96" s="39" t="s">
        <v>209</v>
      </c>
      <c r="C96" s="39" t="s">
        <v>612</v>
      </c>
      <c r="D96" s="39"/>
      <c r="E96" s="39" t="s">
        <v>617</v>
      </c>
      <c r="F96" s="39" t="s">
        <v>257</v>
      </c>
      <c r="G96" s="39" t="s">
        <v>81</v>
      </c>
      <c r="H96" s="39" t="s">
        <v>121</v>
      </c>
      <c r="I96" s="40" t="n">
        <v>45421</v>
      </c>
      <c r="J96" s="40" t="n">
        <v>46183</v>
      </c>
      <c r="K96" s="33" t="n">
        <v>6</v>
      </c>
      <c r="L96" s="34" t="n">
        <v>9950</v>
      </c>
      <c r="M96" s="41" t="n">
        <f aca="false">IFERROR(L96/K96,0)</f>
        <v>1658.33333333333</v>
      </c>
      <c r="N96" s="39" t="s">
        <v>130</v>
      </c>
      <c r="O96" s="42" t="n">
        <f aca="false">IF(J96="","",AsOfDate-J96)</f>
        <v>112</v>
      </c>
      <c r="P96" s="43" t="str">
        <f aca="false">IF(A96="","",IF(AsOfDate-I96&lt;=90,"New",IF(AND(O96&lt;=180,L96&gt;=15000),"VIP",IF(O96&lt;=180,"Regular",IF(O96&lt;=365,"At risk","Lapsed")))))</f>
        <v>Regular</v>
      </c>
      <c r="Q96" s="43" t="str">
        <f aca="false">IF(D96="","Missing",IF(COUNTIF($D$2:$D$207,D96)&gt;1,"Duplicate",IF(AND(LEN(D96)-LEN(SUBSTITUTE(D96,"@",""))=1,ISNUMBER(SEARCH(".",D96,SEARCH("@",D96))),ISERROR(SEARCH(" ",D96))),"Valid","Invalid")))</f>
        <v>Missing</v>
      </c>
      <c r="R96" s="43" t="str">
        <f aca="false">IF(E96="","Missing",IF(COUNTIF($E$2:$E$207,E96)&gt;1,"Duplicate",IF(AND(LEN(E96)=16,LEFT(E96,5)="+63 9"),"Valid","Check")))</f>
        <v>Valid</v>
      </c>
      <c r="S96" s="43" t="str">
        <f aca="false">IF(AND(Q96="Valid",R96="Valid",N96&lt;&gt;""),"Complete","Needs follow-up")</f>
        <v>Needs follow-up</v>
      </c>
      <c r="T96" s="44" t="s">
        <v>618</v>
      </c>
    </row>
    <row r="97" customFormat="false" ht="18.75" hidden="false" customHeight="true" outlineLevel="0" collapsed="false">
      <c r="A97" s="38" t="s">
        <v>619</v>
      </c>
      <c r="B97" s="39" t="s">
        <v>248</v>
      </c>
      <c r="C97" s="39" t="s">
        <v>173</v>
      </c>
      <c r="D97" s="39" t="s">
        <v>620</v>
      </c>
      <c r="E97" s="39" t="s">
        <v>621</v>
      </c>
      <c r="F97" s="39" t="s">
        <v>128</v>
      </c>
      <c r="G97" s="39" t="s">
        <v>79</v>
      </c>
      <c r="H97" s="39" t="s">
        <v>285</v>
      </c>
      <c r="I97" s="40" t="n">
        <v>45422</v>
      </c>
      <c r="J97" s="40" t="n">
        <v>46190</v>
      </c>
      <c r="K97" s="33" t="n">
        <v>8</v>
      </c>
      <c r="L97" s="34" t="n">
        <v>7860</v>
      </c>
      <c r="M97" s="41" t="n">
        <f aca="false">IFERROR(L97/K97,0)</f>
        <v>982.5</v>
      </c>
      <c r="N97" s="39" t="s">
        <v>151</v>
      </c>
      <c r="O97" s="42" t="n">
        <f aca="false">IF(J97="","",AsOfDate-J97)</f>
        <v>105</v>
      </c>
      <c r="P97" s="43" t="str">
        <f aca="false">IF(A97="","",IF(AsOfDate-I97&lt;=90,"New",IF(AND(O97&lt;=180,L97&gt;=15000),"VIP",IF(O97&lt;=180,"Regular",IF(O97&lt;=365,"At risk","Lapsed")))))</f>
        <v>Regular</v>
      </c>
      <c r="Q97" s="43" t="str">
        <f aca="false">IF(D97="","Missing",IF(COUNTIF($D$2:$D$207,D97)&gt;1,"Duplicate",IF(AND(LEN(D97)-LEN(SUBSTITUTE(D97,"@",""))=1,ISNUMBER(SEARCH(".",D97,SEARCH("@",D97))),ISERROR(SEARCH(" ",D97))),"Valid","Invalid")))</f>
        <v>Valid</v>
      </c>
      <c r="R97" s="43" t="str">
        <f aca="false">IF(E97="","Missing",IF(COUNTIF($E$2:$E$207,E97)&gt;1,"Duplicate",IF(AND(LEN(E97)=16,LEFT(E97,5)="+63 9"),"Valid","Check")))</f>
        <v>Valid</v>
      </c>
      <c r="S97" s="43" t="str">
        <f aca="false">IF(AND(Q97="Valid",R97="Valid",N97&lt;&gt;""),"Complete","Needs follow-up")</f>
        <v>Complete</v>
      </c>
      <c r="T97" s="44" t="s">
        <v>622</v>
      </c>
    </row>
    <row r="98" customFormat="false" ht="18.75" hidden="false" customHeight="true" outlineLevel="0" collapsed="false">
      <c r="A98" s="38" t="s">
        <v>623</v>
      </c>
      <c r="B98" s="39" t="s">
        <v>248</v>
      </c>
      <c r="C98" s="39" t="s">
        <v>199</v>
      </c>
      <c r="D98" s="39" t="s">
        <v>624</v>
      </c>
      <c r="E98" s="39" t="s">
        <v>625</v>
      </c>
      <c r="F98" s="39" t="s">
        <v>217</v>
      </c>
      <c r="G98" s="39" t="s">
        <v>79</v>
      </c>
      <c r="H98" s="39" t="s">
        <v>129</v>
      </c>
      <c r="I98" s="40" t="n">
        <v>45438</v>
      </c>
      <c r="J98" s="40" t="n">
        <v>46258</v>
      </c>
      <c r="K98" s="33" t="n">
        <v>7</v>
      </c>
      <c r="L98" s="34" t="n">
        <v>5830</v>
      </c>
      <c r="M98" s="41" t="n">
        <f aca="false">IFERROR(L98/K98,0)</f>
        <v>832.857142857143</v>
      </c>
      <c r="N98" s="39" t="s">
        <v>151</v>
      </c>
      <c r="O98" s="42" t="n">
        <f aca="false">IF(J98="","",AsOfDate-J98)</f>
        <v>37</v>
      </c>
      <c r="P98" s="43" t="str">
        <f aca="false">IF(A98="","",IF(AsOfDate-I98&lt;=90,"New",IF(AND(O98&lt;=180,L98&gt;=15000),"VIP",IF(O98&lt;=180,"Regular",IF(O98&lt;=365,"At risk","Lapsed")))))</f>
        <v>Regular</v>
      </c>
      <c r="Q98" s="43" t="str">
        <f aca="false">IF(D98="","Missing",IF(COUNTIF($D$2:$D$207,D98)&gt;1,"Duplicate",IF(AND(LEN(D98)-LEN(SUBSTITUTE(D98,"@",""))=1,ISNUMBER(SEARCH(".",D98,SEARCH("@",D98))),ISERROR(SEARCH(" ",D98))),"Valid","Invalid")))</f>
        <v>Valid</v>
      </c>
      <c r="R98" s="43" t="str">
        <f aca="false">IF(E98="","Missing",IF(COUNTIF($E$2:$E$207,E98)&gt;1,"Duplicate",IF(AND(LEN(E98)=16,LEFT(E98,5)="+63 9"),"Valid","Check")))</f>
        <v>Valid</v>
      </c>
      <c r="S98" s="43" t="str">
        <f aca="false">IF(AND(Q98="Valid",R98="Valid",N98&lt;&gt;""),"Complete","Needs follow-up")</f>
        <v>Complete</v>
      </c>
      <c r="T98" s="44" t="s">
        <v>626</v>
      </c>
    </row>
    <row r="99" customFormat="false" ht="18.75" hidden="false" customHeight="true" outlineLevel="0" collapsed="false">
      <c r="A99" s="38" t="s">
        <v>627</v>
      </c>
      <c r="B99" s="39" t="s">
        <v>565</v>
      </c>
      <c r="C99" s="39" t="s">
        <v>628</v>
      </c>
      <c r="D99" s="39" t="s">
        <v>629</v>
      </c>
      <c r="E99" s="39" t="s">
        <v>630</v>
      </c>
      <c r="F99" s="39" t="s">
        <v>257</v>
      </c>
      <c r="G99" s="39" t="s">
        <v>81</v>
      </c>
      <c r="H99" s="39" t="s">
        <v>129</v>
      </c>
      <c r="I99" s="40" t="n">
        <v>45440</v>
      </c>
      <c r="J99" s="40" t="n">
        <v>46281</v>
      </c>
      <c r="K99" s="33" t="n">
        <v>16</v>
      </c>
      <c r="L99" s="34" t="n">
        <v>26020</v>
      </c>
      <c r="M99" s="41" t="n">
        <f aca="false">IFERROR(L99/K99,0)</f>
        <v>1626.25</v>
      </c>
      <c r="N99" s="39" t="s">
        <v>130</v>
      </c>
      <c r="O99" s="42" t="n">
        <f aca="false">IF(J99="","",AsOfDate-J99)</f>
        <v>14</v>
      </c>
      <c r="P99" s="43" t="str">
        <f aca="false">IF(A99="","",IF(AsOfDate-I99&lt;=90,"New",IF(AND(O99&lt;=180,L99&gt;=15000),"VIP",IF(O99&lt;=180,"Regular",IF(O99&lt;=365,"At risk","Lapsed")))))</f>
        <v>VIP</v>
      </c>
      <c r="Q99" s="43" t="str">
        <f aca="false">IF(D99="","Missing",IF(COUNTIF($D$2:$D$207,D99)&gt;1,"Duplicate",IF(AND(LEN(D99)-LEN(SUBSTITUTE(D99,"@",""))=1,ISNUMBER(SEARCH(".",D99,SEARCH("@",D99))),ISERROR(SEARCH(" ",D99))),"Valid","Invalid")))</f>
        <v>Valid</v>
      </c>
      <c r="R99" s="43" t="str">
        <f aca="false">IF(E99="","Missing",IF(COUNTIF($E$2:$E$207,E99)&gt;1,"Duplicate",IF(AND(LEN(E99)=16,LEFT(E99,5)="+63 9"),"Valid","Check")))</f>
        <v>Valid</v>
      </c>
      <c r="S99" s="43" t="str">
        <f aca="false">IF(AND(Q99="Valid",R99="Valid",N99&lt;&gt;""),"Complete","Needs follow-up")</f>
        <v>Complete</v>
      </c>
      <c r="T99" s="44" t="s">
        <v>631</v>
      </c>
    </row>
    <row r="100" customFormat="false" ht="18.75" hidden="false" customHeight="true" outlineLevel="0" collapsed="false">
      <c r="A100" s="38" t="s">
        <v>632</v>
      </c>
      <c r="B100" s="39" t="s">
        <v>633</v>
      </c>
      <c r="C100" s="39" t="s">
        <v>634</v>
      </c>
      <c r="D100" s="39" t="s">
        <v>635</v>
      </c>
      <c r="E100" s="39" t="s">
        <v>636</v>
      </c>
      <c r="F100" s="39" t="s">
        <v>239</v>
      </c>
      <c r="G100" s="39" t="s">
        <v>79</v>
      </c>
      <c r="H100" s="39" t="s">
        <v>121</v>
      </c>
      <c r="I100" s="40" t="n">
        <v>45452</v>
      </c>
      <c r="J100" s="40" t="n">
        <v>46230</v>
      </c>
      <c r="K100" s="33" t="n">
        <v>12</v>
      </c>
      <c r="L100" s="34" t="n">
        <v>19560</v>
      </c>
      <c r="M100" s="41" t="n">
        <f aca="false">IFERROR(L100/K100,0)</f>
        <v>1630</v>
      </c>
      <c r="N100" s="39"/>
      <c r="O100" s="42" t="n">
        <f aca="false">IF(J100="","",AsOfDate-J100)</f>
        <v>65</v>
      </c>
      <c r="P100" s="43" t="str">
        <f aca="false">IF(A100="","",IF(AsOfDate-I100&lt;=90,"New",IF(AND(O100&lt;=180,L100&gt;=15000),"VIP",IF(O100&lt;=180,"Regular",IF(O100&lt;=365,"At risk","Lapsed")))))</f>
        <v>VIP</v>
      </c>
      <c r="Q100" s="43" t="str">
        <f aca="false">IF(D100="","Missing",IF(COUNTIF($D$2:$D$207,D100)&gt;1,"Duplicate",IF(AND(LEN(D100)-LEN(SUBSTITUTE(D100,"@",""))=1,ISNUMBER(SEARCH(".",D100,SEARCH("@",D100))),ISERROR(SEARCH(" ",D100))),"Valid","Invalid")))</f>
        <v>Valid</v>
      </c>
      <c r="R100" s="43" t="str">
        <f aca="false">IF(E100="","Missing",IF(COUNTIF($E$2:$E$207,E100)&gt;1,"Duplicate",IF(AND(LEN(E100)=16,LEFT(E100,5)="+63 9"),"Valid","Check")))</f>
        <v>Valid</v>
      </c>
      <c r="S100" s="43" t="str">
        <f aca="false">IF(AND(Q100="Valid",R100="Valid",N100&lt;&gt;""),"Complete","Needs follow-up")</f>
        <v>Needs follow-up</v>
      </c>
      <c r="T100" s="44" t="s">
        <v>637</v>
      </c>
    </row>
    <row r="101" customFormat="false" ht="18.75" hidden="false" customHeight="true" outlineLevel="0" collapsed="false">
      <c r="A101" s="38" t="s">
        <v>638</v>
      </c>
      <c r="B101" s="39" t="s">
        <v>248</v>
      </c>
      <c r="C101" s="39" t="s">
        <v>553</v>
      </c>
      <c r="D101" s="39" t="s">
        <v>639</v>
      </c>
      <c r="E101" s="39" t="s">
        <v>640</v>
      </c>
      <c r="F101" s="39" t="s">
        <v>150</v>
      </c>
      <c r="G101" s="39" t="s">
        <v>80</v>
      </c>
      <c r="H101" s="39" t="s">
        <v>129</v>
      </c>
      <c r="I101" s="40" t="n">
        <v>45476</v>
      </c>
      <c r="J101" s="40" t="n">
        <v>45599</v>
      </c>
      <c r="K101" s="33" t="n">
        <v>2</v>
      </c>
      <c r="L101" s="34" t="n">
        <v>2290</v>
      </c>
      <c r="M101" s="41" t="n">
        <f aca="false">IFERROR(L101/K101,0)</f>
        <v>1145</v>
      </c>
      <c r="N101" s="39" t="s">
        <v>130</v>
      </c>
      <c r="O101" s="42" t="n">
        <f aca="false">IF(J101="","",AsOfDate-J101)</f>
        <v>696</v>
      </c>
      <c r="P101" s="43" t="str">
        <f aca="false">IF(A101="","",IF(AsOfDate-I101&lt;=90,"New",IF(AND(O101&lt;=180,L101&gt;=15000),"VIP",IF(O101&lt;=180,"Regular",IF(O101&lt;=365,"At risk","Lapsed")))))</f>
        <v>Lapsed</v>
      </c>
      <c r="Q101" s="43" t="str">
        <f aca="false">IF(D101="","Missing",IF(COUNTIF($D$2:$D$207,D101)&gt;1,"Duplicate",IF(AND(LEN(D101)-LEN(SUBSTITUTE(D101,"@",""))=1,ISNUMBER(SEARCH(".",D101,SEARCH("@",D101))),ISERROR(SEARCH(" ",D101))),"Valid","Invalid")))</f>
        <v>Valid</v>
      </c>
      <c r="R101" s="43" t="str">
        <f aca="false">IF(E101="","Missing",IF(COUNTIF($E$2:$E$207,E101)&gt;1,"Duplicate",IF(AND(LEN(E101)=16,LEFT(E101,5)="+63 9"),"Valid","Check")))</f>
        <v>Valid</v>
      </c>
      <c r="S101" s="43" t="str">
        <f aca="false">IF(AND(Q101="Valid",R101="Valid",N101&lt;&gt;""),"Complete","Needs follow-up")</f>
        <v>Complete</v>
      </c>
      <c r="T101" s="44" t="s">
        <v>641</v>
      </c>
    </row>
    <row r="102" customFormat="false" ht="18.75" hidden="false" customHeight="true" outlineLevel="0" collapsed="false">
      <c r="A102" s="38" t="s">
        <v>642</v>
      </c>
      <c r="B102" s="39" t="s">
        <v>124</v>
      </c>
      <c r="C102" s="39" t="s">
        <v>349</v>
      </c>
      <c r="D102" s="39" t="s">
        <v>643</v>
      </c>
      <c r="E102" s="39" t="s">
        <v>644</v>
      </c>
      <c r="F102" s="39" t="s">
        <v>120</v>
      </c>
      <c r="G102" s="39" t="s">
        <v>80</v>
      </c>
      <c r="H102" s="39" t="s">
        <v>129</v>
      </c>
      <c r="I102" s="40" t="n">
        <v>45479</v>
      </c>
      <c r="J102" s="40" t="n">
        <v>46129</v>
      </c>
      <c r="K102" s="33" t="n">
        <v>12</v>
      </c>
      <c r="L102" s="34" t="n">
        <v>20510</v>
      </c>
      <c r="M102" s="41" t="n">
        <f aca="false">IFERROR(L102/K102,0)</f>
        <v>1709.16666666667</v>
      </c>
      <c r="N102" s="39" t="s">
        <v>151</v>
      </c>
      <c r="O102" s="42" t="n">
        <f aca="false">IF(J102="","",AsOfDate-J102)</f>
        <v>166</v>
      </c>
      <c r="P102" s="43" t="str">
        <f aca="false">IF(A102="","",IF(AsOfDate-I102&lt;=90,"New",IF(AND(O102&lt;=180,L102&gt;=15000),"VIP",IF(O102&lt;=180,"Regular",IF(O102&lt;=365,"At risk","Lapsed")))))</f>
        <v>VIP</v>
      </c>
      <c r="Q102" s="43" t="str">
        <f aca="false">IF(D102="","Missing",IF(COUNTIF($D$2:$D$207,D102)&gt;1,"Duplicate",IF(AND(LEN(D102)-LEN(SUBSTITUTE(D102,"@",""))=1,ISNUMBER(SEARCH(".",D102,SEARCH("@",D102))),ISERROR(SEARCH(" ",D102))),"Valid","Invalid")))</f>
        <v>Valid</v>
      </c>
      <c r="R102" s="43" t="str">
        <f aca="false">IF(E102="","Missing",IF(COUNTIF($E$2:$E$207,E102)&gt;1,"Duplicate",IF(AND(LEN(E102)=16,LEFT(E102,5)="+63 9"),"Valid","Check")))</f>
        <v>Valid</v>
      </c>
      <c r="S102" s="43" t="str">
        <f aca="false">IF(AND(Q102="Valid",R102="Valid",N102&lt;&gt;""),"Complete","Needs follow-up")</f>
        <v>Complete</v>
      </c>
      <c r="T102" s="44" t="s">
        <v>645</v>
      </c>
    </row>
    <row r="103" customFormat="false" ht="18.75" hidden="false" customHeight="true" outlineLevel="0" collapsed="false">
      <c r="A103" s="38" t="s">
        <v>646</v>
      </c>
      <c r="B103" s="39" t="s">
        <v>647</v>
      </c>
      <c r="C103" s="39" t="s">
        <v>471</v>
      </c>
      <c r="D103" s="39" t="s">
        <v>648</v>
      </c>
      <c r="E103" s="39" t="s">
        <v>649</v>
      </c>
      <c r="F103" s="39" t="s">
        <v>163</v>
      </c>
      <c r="G103" s="39" t="s">
        <v>79</v>
      </c>
      <c r="H103" s="39" t="s">
        <v>189</v>
      </c>
      <c r="I103" s="40" t="n">
        <v>45482</v>
      </c>
      <c r="J103" s="40" t="n">
        <v>46134</v>
      </c>
      <c r="K103" s="33" t="n">
        <v>3</v>
      </c>
      <c r="L103" s="34" t="n">
        <v>4950</v>
      </c>
      <c r="M103" s="41" t="n">
        <f aca="false">IFERROR(L103/K103,0)</f>
        <v>1650</v>
      </c>
      <c r="N103" s="39" t="s">
        <v>151</v>
      </c>
      <c r="O103" s="42" t="n">
        <f aca="false">IF(J103="","",AsOfDate-J103)</f>
        <v>161</v>
      </c>
      <c r="P103" s="43" t="str">
        <f aca="false">IF(A103="","",IF(AsOfDate-I103&lt;=90,"New",IF(AND(O103&lt;=180,L103&gt;=15000),"VIP",IF(O103&lt;=180,"Regular",IF(O103&lt;=365,"At risk","Lapsed")))))</f>
        <v>Regular</v>
      </c>
      <c r="Q103" s="43" t="str">
        <f aca="false">IF(D103="","Missing",IF(COUNTIF($D$2:$D$207,D103)&gt;1,"Duplicate",IF(AND(LEN(D103)-LEN(SUBSTITUTE(D103,"@",""))=1,ISNUMBER(SEARCH(".",D103,SEARCH("@",D103))),ISERROR(SEARCH(" ",D103))),"Valid","Invalid")))</f>
        <v>Valid</v>
      </c>
      <c r="R103" s="43" t="str">
        <f aca="false">IF(E103="","Missing",IF(COUNTIF($E$2:$E$207,E103)&gt;1,"Duplicate",IF(AND(LEN(E103)=16,LEFT(E103,5)="+63 9"),"Valid","Check")))</f>
        <v>Valid</v>
      </c>
      <c r="S103" s="43" t="str">
        <f aca="false">IF(AND(Q103="Valid",R103="Valid",N103&lt;&gt;""),"Complete","Needs follow-up")</f>
        <v>Complete</v>
      </c>
      <c r="T103" s="44" t="s">
        <v>650</v>
      </c>
    </row>
    <row r="104" customFormat="false" ht="18.75" hidden="false" customHeight="true" outlineLevel="0" collapsed="false">
      <c r="A104" s="38" t="s">
        <v>651</v>
      </c>
      <c r="B104" s="39" t="s">
        <v>320</v>
      </c>
      <c r="C104" s="39" t="s">
        <v>155</v>
      </c>
      <c r="D104" s="39" t="s">
        <v>652</v>
      </c>
      <c r="E104" s="39" t="s">
        <v>653</v>
      </c>
      <c r="F104" s="39" t="s">
        <v>217</v>
      </c>
      <c r="G104" s="39" t="s">
        <v>79</v>
      </c>
      <c r="H104" s="39" t="s">
        <v>189</v>
      </c>
      <c r="I104" s="40" t="n">
        <v>45483</v>
      </c>
      <c r="J104" s="40" t="n">
        <v>46158</v>
      </c>
      <c r="K104" s="33" t="n">
        <v>12</v>
      </c>
      <c r="L104" s="34" t="n">
        <v>7390</v>
      </c>
      <c r="M104" s="41" t="n">
        <f aca="false">IFERROR(L104/K104,0)</f>
        <v>615.833333333333</v>
      </c>
      <c r="N104" s="39" t="s">
        <v>151</v>
      </c>
      <c r="O104" s="42" t="n">
        <f aca="false">IF(J104="","",AsOfDate-J104)</f>
        <v>137</v>
      </c>
      <c r="P104" s="43" t="str">
        <f aca="false">IF(A104="","",IF(AsOfDate-I104&lt;=90,"New",IF(AND(O104&lt;=180,L104&gt;=15000),"VIP",IF(O104&lt;=180,"Regular",IF(O104&lt;=365,"At risk","Lapsed")))))</f>
        <v>Regular</v>
      </c>
      <c r="Q104" s="43" t="str">
        <f aca="false">IF(D104="","Missing",IF(COUNTIF($D$2:$D$207,D104)&gt;1,"Duplicate",IF(AND(LEN(D104)-LEN(SUBSTITUTE(D104,"@",""))=1,ISNUMBER(SEARCH(".",D104,SEARCH("@",D104))),ISERROR(SEARCH(" ",D104))),"Valid","Invalid")))</f>
        <v>Valid</v>
      </c>
      <c r="R104" s="43" t="str">
        <f aca="false">IF(E104="","Missing",IF(COUNTIF($E$2:$E$207,E104)&gt;1,"Duplicate",IF(AND(LEN(E104)=16,LEFT(E104,5)="+63 9"),"Valid","Check")))</f>
        <v>Valid</v>
      </c>
      <c r="S104" s="43" t="str">
        <f aca="false">IF(AND(Q104="Valid",R104="Valid",N104&lt;&gt;""),"Complete","Needs follow-up")</f>
        <v>Complete</v>
      </c>
      <c r="T104" s="44" t="s">
        <v>654</v>
      </c>
    </row>
    <row r="105" customFormat="false" ht="18.75" hidden="false" customHeight="true" outlineLevel="0" collapsed="false">
      <c r="A105" s="38" t="s">
        <v>655</v>
      </c>
      <c r="B105" s="39" t="s">
        <v>547</v>
      </c>
      <c r="C105" s="39" t="s">
        <v>288</v>
      </c>
      <c r="D105" s="39" t="s">
        <v>656</v>
      </c>
      <c r="E105" s="39" t="s">
        <v>657</v>
      </c>
      <c r="F105" s="39" t="s">
        <v>257</v>
      </c>
      <c r="G105" s="39" t="s">
        <v>81</v>
      </c>
      <c r="H105" s="39" t="s">
        <v>182</v>
      </c>
      <c r="I105" s="40" t="n">
        <v>45488</v>
      </c>
      <c r="J105" s="40" t="n">
        <v>45756</v>
      </c>
      <c r="K105" s="33" t="n">
        <v>4</v>
      </c>
      <c r="L105" s="34" t="n">
        <v>7340</v>
      </c>
      <c r="M105" s="41" t="n">
        <f aca="false">IFERROR(L105/K105,0)</f>
        <v>1835</v>
      </c>
      <c r="N105" s="39" t="s">
        <v>151</v>
      </c>
      <c r="O105" s="42" t="n">
        <f aca="false">IF(J105="","",AsOfDate-J105)</f>
        <v>539</v>
      </c>
      <c r="P105" s="43" t="str">
        <f aca="false">IF(A105="","",IF(AsOfDate-I105&lt;=90,"New",IF(AND(O105&lt;=180,L105&gt;=15000),"VIP",IF(O105&lt;=180,"Regular",IF(O105&lt;=365,"At risk","Lapsed")))))</f>
        <v>Lapsed</v>
      </c>
      <c r="Q105" s="43" t="str">
        <f aca="false">IF(D105="","Missing",IF(COUNTIF($D$2:$D$207,D105)&gt;1,"Duplicate",IF(AND(LEN(D105)-LEN(SUBSTITUTE(D105,"@",""))=1,ISNUMBER(SEARCH(".",D105,SEARCH("@",D105))),ISERROR(SEARCH(" ",D105))),"Valid","Invalid")))</f>
        <v>Valid</v>
      </c>
      <c r="R105" s="43" t="str">
        <f aca="false">IF(E105="","Missing",IF(COUNTIF($E$2:$E$207,E105)&gt;1,"Duplicate",IF(AND(LEN(E105)=16,LEFT(E105,5)="+63 9"),"Valid","Check")))</f>
        <v>Valid</v>
      </c>
      <c r="S105" s="43" t="str">
        <f aca="false">IF(AND(Q105="Valid",R105="Valid",N105&lt;&gt;""),"Complete","Needs follow-up")</f>
        <v>Complete</v>
      </c>
      <c r="T105" s="44" t="s">
        <v>658</v>
      </c>
    </row>
    <row r="106" customFormat="false" ht="18.75" hidden="false" customHeight="true" outlineLevel="0" collapsed="false">
      <c r="A106" s="38" t="s">
        <v>659</v>
      </c>
      <c r="B106" s="39" t="s">
        <v>394</v>
      </c>
      <c r="C106" s="39" t="s">
        <v>576</v>
      </c>
      <c r="D106" s="39" t="s">
        <v>660</v>
      </c>
      <c r="E106" s="39" t="s">
        <v>661</v>
      </c>
      <c r="F106" s="39" t="s">
        <v>128</v>
      </c>
      <c r="G106" s="39" t="s">
        <v>79</v>
      </c>
      <c r="H106" s="39" t="s">
        <v>189</v>
      </c>
      <c r="I106" s="40" t="n">
        <v>45492</v>
      </c>
      <c r="J106" s="40" t="n">
        <v>46176</v>
      </c>
      <c r="K106" s="33" t="n">
        <v>11</v>
      </c>
      <c r="L106" s="34" t="n">
        <v>15300</v>
      </c>
      <c r="M106" s="41" t="n">
        <f aca="false">IFERROR(L106/K106,0)</f>
        <v>1390.90909090909</v>
      </c>
      <c r="N106" s="39" t="s">
        <v>151</v>
      </c>
      <c r="O106" s="42" t="n">
        <f aca="false">IF(J106="","",AsOfDate-J106)</f>
        <v>119</v>
      </c>
      <c r="P106" s="43" t="str">
        <f aca="false">IF(A106="","",IF(AsOfDate-I106&lt;=90,"New",IF(AND(O106&lt;=180,L106&gt;=15000),"VIP",IF(O106&lt;=180,"Regular",IF(O106&lt;=365,"At risk","Lapsed")))))</f>
        <v>VIP</v>
      </c>
      <c r="Q106" s="43" t="str">
        <f aca="false">IF(D106="","Missing",IF(COUNTIF($D$2:$D$207,D106)&gt;1,"Duplicate",IF(AND(LEN(D106)-LEN(SUBSTITUTE(D106,"@",""))=1,ISNUMBER(SEARCH(".",D106,SEARCH("@",D106))),ISERROR(SEARCH(" ",D106))),"Valid","Invalid")))</f>
        <v>Valid</v>
      </c>
      <c r="R106" s="43" t="str">
        <f aca="false">IF(E106="","Missing",IF(COUNTIF($E$2:$E$207,E106)&gt;1,"Duplicate",IF(AND(LEN(E106)=16,LEFT(E106,5)="+63 9"),"Valid","Check")))</f>
        <v>Valid</v>
      </c>
      <c r="S106" s="43" t="str">
        <f aca="false">IF(AND(Q106="Valid",R106="Valid",N106&lt;&gt;""),"Complete","Needs follow-up")</f>
        <v>Complete</v>
      </c>
      <c r="T106" s="44" t="s">
        <v>662</v>
      </c>
    </row>
    <row r="107" customFormat="false" ht="18.75" hidden="false" customHeight="true" outlineLevel="0" collapsed="false">
      <c r="A107" s="38" t="s">
        <v>663</v>
      </c>
      <c r="B107" s="39" t="s">
        <v>116</v>
      </c>
      <c r="C107" s="39" t="s">
        <v>508</v>
      </c>
      <c r="D107" s="39" t="s">
        <v>664</v>
      </c>
      <c r="E107" s="39" t="s">
        <v>665</v>
      </c>
      <c r="F107" s="39" t="s">
        <v>150</v>
      </c>
      <c r="G107" s="39" t="s">
        <v>80</v>
      </c>
      <c r="H107" s="39" t="s">
        <v>129</v>
      </c>
      <c r="I107" s="40" t="n">
        <v>45499</v>
      </c>
      <c r="J107" s="40" t="n">
        <v>46160</v>
      </c>
      <c r="K107" s="33" t="n">
        <v>8</v>
      </c>
      <c r="L107" s="34" t="n">
        <v>14320</v>
      </c>
      <c r="M107" s="41" t="n">
        <f aca="false">IFERROR(L107/K107,0)</f>
        <v>1790</v>
      </c>
      <c r="N107" s="39" t="s">
        <v>130</v>
      </c>
      <c r="O107" s="42" t="n">
        <f aca="false">IF(J107="","",AsOfDate-J107)</f>
        <v>135</v>
      </c>
      <c r="P107" s="43" t="str">
        <f aca="false">IF(A107="","",IF(AsOfDate-I107&lt;=90,"New",IF(AND(O107&lt;=180,L107&gt;=15000),"VIP",IF(O107&lt;=180,"Regular",IF(O107&lt;=365,"At risk","Lapsed")))))</f>
        <v>Regular</v>
      </c>
      <c r="Q107" s="43" t="str">
        <f aca="false">IF(D107="","Missing",IF(COUNTIF($D$2:$D$207,D107)&gt;1,"Duplicate",IF(AND(LEN(D107)-LEN(SUBSTITUTE(D107,"@",""))=1,ISNUMBER(SEARCH(".",D107,SEARCH("@",D107))),ISERROR(SEARCH(" ",D107))),"Valid","Invalid")))</f>
        <v>Valid</v>
      </c>
      <c r="R107" s="43" t="str">
        <f aca="false">IF(E107="","Missing",IF(COUNTIF($E$2:$E$207,E107)&gt;1,"Duplicate",IF(AND(LEN(E107)=16,LEFT(E107,5)="+63 9"),"Valid","Check")))</f>
        <v>Valid</v>
      </c>
      <c r="S107" s="43" t="str">
        <f aca="false">IF(AND(Q107="Valid",R107="Valid",N107&lt;&gt;""),"Complete","Needs follow-up")</f>
        <v>Complete</v>
      </c>
      <c r="T107" s="44" t="s">
        <v>666</v>
      </c>
    </row>
    <row r="108" customFormat="false" ht="18.75" hidden="false" customHeight="true" outlineLevel="0" collapsed="false">
      <c r="A108" s="38" t="s">
        <v>667</v>
      </c>
      <c r="B108" s="39" t="s">
        <v>160</v>
      </c>
      <c r="C108" s="39" t="s">
        <v>668</v>
      </c>
      <c r="D108" s="39" t="s">
        <v>669</v>
      </c>
      <c r="E108" s="39" t="s">
        <v>670</v>
      </c>
      <c r="F108" s="39" t="s">
        <v>170</v>
      </c>
      <c r="G108" s="39" t="s">
        <v>82</v>
      </c>
      <c r="H108" s="39" t="s">
        <v>129</v>
      </c>
      <c r="I108" s="40" t="n">
        <v>45504</v>
      </c>
      <c r="J108" s="40" t="n">
        <v>45504</v>
      </c>
      <c r="K108" s="33" t="n">
        <v>1</v>
      </c>
      <c r="L108" s="34" t="n">
        <v>960</v>
      </c>
      <c r="M108" s="41" t="n">
        <f aca="false">IFERROR(L108/K108,0)</f>
        <v>960</v>
      </c>
      <c r="N108" s="39" t="s">
        <v>130</v>
      </c>
      <c r="O108" s="42" t="n">
        <f aca="false">IF(J108="","",AsOfDate-J108)</f>
        <v>791</v>
      </c>
      <c r="P108" s="43" t="str">
        <f aca="false">IF(A108="","",IF(AsOfDate-I108&lt;=90,"New",IF(AND(O108&lt;=180,L108&gt;=15000),"VIP",IF(O108&lt;=180,"Regular",IF(O108&lt;=365,"At risk","Lapsed")))))</f>
        <v>Lapsed</v>
      </c>
      <c r="Q108" s="43" t="str">
        <f aca="false">IF(D108="","Missing",IF(COUNTIF($D$2:$D$207,D108)&gt;1,"Duplicate",IF(AND(LEN(D108)-LEN(SUBSTITUTE(D108,"@",""))=1,ISNUMBER(SEARCH(".",D108,SEARCH("@",D108))),ISERROR(SEARCH(" ",D108))),"Valid","Invalid")))</f>
        <v>Valid</v>
      </c>
      <c r="R108" s="43" t="str">
        <f aca="false">IF(E108="","Missing",IF(COUNTIF($E$2:$E$207,E108)&gt;1,"Duplicate",IF(AND(LEN(E108)=16,LEFT(E108,5)="+63 9"),"Valid","Check")))</f>
        <v>Valid</v>
      </c>
      <c r="S108" s="43" t="str">
        <f aca="false">IF(AND(Q108="Valid",R108="Valid",N108&lt;&gt;""),"Complete","Needs follow-up")</f>
        <v>Complete</v>
      </c>
      <c r="T108" s="44" t="s">
        <v>671</v>
      </c>
    </row>
    <row r="109" customFormat="false" ht="18.75" hidden="false" customHeight="true" outlineLevel="0" collapsed="false">
      <c r="A109" s="38" t="s">
        <v>672</v>
      </c>
      <c r="B109" s="39" t="s">
        <v>394</v>
      </c>
      <c r="C109" s="39" t="s">
        <v>273</v>
      </c>
      <c r="D109" s="39" t="s">
        <v>673</v>
      </c>
      <c r="E109" s="39" t="s">
        <v>674</v>
      </c>
      <c r="F109" s="39" t="s">
        <v>128</v>
      </c>
      <c r="G109" s="39" t="s">
        <v>79</v>
      </c>
      <c r="H109" s="39" t="s">
        <v>121</v>
      </c>
      <c r="I109" s="40" t="n">
        <v>45514</v>
      </c>
      <c r="J109" s="40" t="n">
        <v>46221</v>
      </c>
      <c r="K109" s="33" t="n">
        <v>29</v>
      </c>
      <c r="L109" s="34" t="n">
        <v>40540</v>
      </c>
      <c r="M109" s="41" t="n">
        <f aca="false">IFERROR(L109/K109,0)</f>
        <v>1397.93103448276</v>
      </c>
      <c r="N109" s="39" t="s">
        <v>151</v>
      </c>
      <c r="O109" s="42" t="n">
        <f aca="false">IF(J109="","",AsOfDate-J109)</f>
        <v>74</v>
      </c>
      <c r="P109" s="43" t="str">
        <f aca="false">IF(A109="","",IF(AsOfDate-I109&lt;=90,"New",IF(AND(O109&lt;=180,L109&gt;=15000),"VIP",IF(O109&lt;=180,"Regular",IF(O109&lt;=365,"At risk","Lapsed")))))</f>
        <v>VIP</v>
      </c>
      <c r="Q109" s="43" t="str">
        <f aca="false">IF(D109="","Missing",IF(COUNTIF($D$2:$D$207,D109)&gt;1,"Duplicate",IF(AND(LEN(D109)-LEN(SUBSTITUTE(D109,"@",""))=1,ISNUMBER(SEARCH(".",D109,SEARCH("@",D109))),ISERROR(SEARCH(" ",D109))),"Valid","Invalid")))</f>
        <v>Valid</v>
      </c>
      <c r="R109" s="43" t="str">
        <f aca="false">IF(E109="","Missing",IF(COUNTIF($E$2:$E$207,E109)&gt;1,"Duplicate",IF(AND(LEN(E109)=16,LEFT(E109,5)="+63 9"),"Valid","Check")))</f>
        <v>Valid</v>
      </c>
      <c r="S109" s="43" t="str">
        <f aca="false">IF(AND(Q109="Valid",R109="Valid",N109&lt;&gt;""),"Complete","Needs follow-up")</f>
        <v>Complete</v>
      </c>
      <c r="T109" s="44" t="s">
        <v>675</v>
      </c>
    </row>
    <row r="110" customFormat="false" ht="18.75" hidden="false" customHeight="true" outlineLevel="0" collapsed="false">
      <c r="A110" s="38" t="s">
        <v>676</v>
      </c>
      <c r="B110" s="39" t="s">
        <v>315</v>
      </c>
      <c r="C110" s="39" t="s">
        <v>634</v>
      </c>
      <c r="D110" s="39" t="s">
        <v>677</v>
      </c>
      <c r="E110" s="39" t="s">
        <v>678</v>
      </c>
      <c r="F110" s="39" t="s">
        <v>150</v>
      </c>
      <c r="G110" s="39" t="s">
        <v>80</v>
      </c>
      <c r="H110" s="39" t="s">
        <v>129</v>
      </c>
      <c r="I110" s="40" t="n">
        <v>45517</v>
      </c>
      <c r="J110" s="40" t="n">
        <v>46148</v>
      </c>
      <c r="K110" s="33" t="n">
        <v>8</v>
      </c>
      <c r="L110" s="34" t="n">
        <v>5900</v>
      </c>
      <c r="M110" s="41" t="n">
        <f aca="false">IFERROR(L110/K110,0)</f>
        <v>737.5</v>
      </c>
      <c r="N110" s="39" t="s">
        <v>151</v>
      </c>
      <c r="O110" s="42" t="n">
        <f aca="false">IF(J110="","",AsOfDate-J110)</f>
        <v>147</v>
      </c>
      <c r="P110" s="43" t="str">
        <f aca="false">IF(A110="","",IF(AsOfDate-I110&lt;=90,"New",IF(AND(O110&lt;=180,L110&gt;=15000),"VIP",IF(O110&lt;=180,"Regular",IF(O110&lt;=365,"At risk","Lapsed")))))</f>
        <v>Regular</v>
      </c>
      <c r="Q110" s="43" t="str">
        <f aca="false">IF(D110="","Missing",IF(COUNTIF($D$2:$D$207,D110)&gt;1,"Duplicate",IF(AND(LEN(D110)-LEN(SUBSTITUTE(D110,"@",""))=1,ISNUMBER(SEARCH(".",D110,SEARCH("@",D110))),ISERROR(SEARCH(" ",D110))),"Valid","Invalid")))</f>
        <v>Valid</v>
      </c>
      <c r="R110" s="43" t="str">
        <f aca="false">IF(E110="","Missing",IF(COUNTIF($E$2:$E$207,E110)&gt;1,"Duplicate",IF(AND(LEN(E110)=16,LEFT(E110,5)="+63 9"),"Valid","Check")))</f>
        <v>Valid</v>
      </c>
      <c r="S110" s="43" t="str">
        <f aca="false">IF(AND(Q110="Valid",R110="Valid",N110&lt;&gt;""),"Complete","Needs follow-up")</f>
        <v>Complete</v>
      </c>
      <c r="T110" s="44" t="s">
        <v>679</v>
      </c>
    </row>
    <row r="111" customFormat="false" ht="18.75" hidden="false" customHeight="true" outlineLevel="0" collapsed="false">
      <c r="A111" s="38" t="s">
        <v>680</v>
      </c>
      <c r="B111" s="39" t="s">
        <v>681</v>
      </c>
      <c r="C111" s="39" t="s">
        <v>173</v>
      </c>
      <c r="D111" s="39" t="s">
        <v>682</v>
      </c>
      <c r="E111" s="39" t="s">
        <v>683</v>
      </c>
      <c r="F111" s="39" t="s">
        <v>120</v>
      </c>
      <c r="G111" s="39" t="s">
        <v>80</v>
      </c>
      <c r="H111" s="39" t="s">
        <v>182</v>
      </c>
      <c r="I111" s="40" t="n">
        <v>45517</v>
      </c>
      <c r="J111" s="40" t="n">
        <v>46024</v>
      </c>
      <c r="K111" s="33" t="n">
        <v>2</v>
      </c>
      <c r="L111" s="34" t="n">
        <v>2480</v>
      </c>
      <c r="M111" s="41" t="n">
        <f aca="false">IFERROR(L111/K111,0)</f>
        <v>1240</v>
      </c>
      <c r="N111" s="39" t="s">
        <v>151</v>
      </c>
      <c r="O111" s="42" t="n">
        <f aca="false">IF(J111="","",AsOfDate-J111)</f>
        <v>271</v>
      </c>
      <c r="P111" s="43" t="str">
        <f aca="false">IF(A111="","",IF(AsOfDate-I111&lt;=90,"New",IF(AND(O111&lt;=180,L111&gt;=15000),"VIP",IF(O111&lt;=180,"Regular",IF(O111&lt;=365,"At risk","Lapsed")))))</f>
        <v>At risk</v>
      </c>
      <c r="Q111" s="43" t="str">
        <f aca="false">IF(D111="","Missing",IF(COUNTIF($D$2:$D$207,D111)&gt;1,"Duplicate",IF(AND(LEN(D111)-LEN(SUBSTITUTE(D111,"@",""))=1,ISNUMBER(SEARCH(".",D111,SEARCH("@",D111))),ISERROR(SEARCH(" ",D111))),"Valid","Invalid")))</f>
        <v>Valid</v>
      </c>
      <c r="R111" s="43" t="str">
        <f aca="false">IF(E111="","Missing",IF(COUNTIF($E$2:$E$207,E111)&gt;1,"Duplicate",IF(AND(LEN(E111)=16,LEFT(E111,5)="+63 9"),"Valid","Check")))</f>
        <v>Valid</v>
      </c>
      <c r="S111" s="43" t="str">
        <f aca="false">IF(AND(Q111="Valid",R111="Valid",N111&lt;&gt;""),"Complete","Needs follow-up")</f>
        <v>Complete</v>
      </c>
      <c r="T111" s="44" t="s">
        <v>684</v>
      </c>
    </row>
    <row r="112" customFormat="false" ht="18.75" hidden="false" customHeight="true" outlineLevel="0" collapsed="false">
      <c r="A112" s="38" t="s">
        <v>685</v>
      </c>
      <c r="B112" s="39" t="s">
        <v>686</v>
      </c>
      <c r="C112" s="39" t="s">
        <v>687</v>
      </c>
      <c r="D112" s="39" t="s">
        <v>688</v>
      </c>
      <c r="E112" s="39" t="s">
        <v>689</v>
      </c>
      <c r="F112" s="39" t="s">
        <v>128</v>
      </c>
      <c r="G112" s="39" t="s">
        <v>79</v>
      </c>
      <c r="H112" s="39" t="s">
        <v>164</v>
      </c>
      <c r="I112" s="40" t="n">
        <v>45519</v>
      </c>
      <c r="J112" s="40" t="n">
        <v>46219</v>
      </c>
      <c r="K112" s="33" t="n">
        <v>5</v>
      </c>
      <c r="L112" s="34" t="n">
        <v>3250</v>
      </c>
      <c r="M112" s="41" t="n">
        <f aca="false">IFERROR(L112/K112,0)</f>
        <v>650</v>
      </c>
      <c r="N112" s="39" t="s">
        <v>151</v>
      </c>
      <c r="O112" s="42" t="n">
        <f aca="false">IF(J112="","",AsOfDate-J112)</f>
        <v>76</v>
      </c>
      <c r="P112" s="43" t="str">
        <f aca="false">IF(A112="","",IF(AsOfDate-I112&lt;=90,"New",IF(AND(O112&lt;=180,L112&gt;=15000),"VIP",IF(O112&lt;=180,"Regular",IF(O112&lt;=365,"At risk","Lapsed")))))</f>
        <v>Regular</v>
      </c>
      <c r="Q112" s="43" t="str">
        <f aca="false">IF(D112="","Missing",IF(COUNTIF($D$2:$D$207,D112)&gt;1,"Duplicate",IF(AND(LEN(D112)-LEN(SUBSTITUTE(D112,"@",""))=1,ISNUMBER(SEARCH(".",D112,SEARCH("@",D112))),ISERROR(SEARCH(" ",D112))),"Valid","Invalid")))</f>
        <v>Valid</v>
      </c>
      <c r="R112" s="43" t="str">
        <f aca="false">IF(E112="","Missing",IF(COUNTIF($E$2:$E$207,E112)&gt;1,"Duplicate",IF(AND(LEN(E112)=16,LEFT(E112,5)="+63 9"),"Valid","Check")))</f>
        <v>Valid</v>
      </c>
      <c r="S112" s="43" t="str">
        <f aca="false">IF(AND(Q112="Valid",R112="Valid",N112&lt;&gt;""),"Complete","Needs follow-up")</f>
        <v>Complete</v>
      </c>
      <c r="T112" s="44" t="s">
        <v>690</v>
      </c>
    </row>
    <row r="113" customFormat="false" ht="18.75" hidden="false" customHeight="true" outlineLevel="0" collapsed="false">
      <c r="A113" s="38" t="s">
        <v>691</v>
      </c>
      <c r="B113" s="39" t="s">
        <v>692</v>
      </c>
      <c r="C113" s="39" t="s">
        <v>349</v>
      </c>
      <c r="D113" s="39"/>
      <c r="E113" s="39" t="s">
        <v>693</v>
      </c>
      <c r="F113" s="39" t="s">
        <v>163</v>
      </c>
      <c r="G113" s="39" t="s">
        <v>79</v>
      </c>
      <c r="H113" s="39" t="s">
        <v>164</v>
      </c>
      <c r="I113" s="40" t="n">
        <v>45529</v>
      </c>
      <c r="J113" s="40" t="n">
        <v>45882</v>
      </c>
      <c r="K113" s="33" t="n">
        <v>5</v>
      </c>
      <c r="L113" s="34" t="n">
        <v>8500</v>
      </c>
      <c r="M113" s="41" t="n">
        <f aca="false">IFERROR(L113/K113,0)</f>
        <v>1700</v>
      </c>
      <c r="N113" s="39" t="s">
        <v>130</v>
      </c>
      <c r="O113" s="42" t="n">
        <f aca="false">IF(J113="","",AsOfDate-J113)</f>
        <v>413</v>
      </c>
      <c r="P113" s="43" t="str">
        <f aca="false">IF(A113="","",IF(AsOfDate-I113&lt;=90,"New",IF(AND(O113&lt;=180,L113&gt;=15000),"VIP",IF(O113&lt;=180,"Regular",IF(O113&lt;=365,"At risk","Lapsed")))))</f>
        <v>Lapsed</v>
      </c>
      <c r="Q113" s="43" t="str">
        <f aca="false">IF(D113="","Missing",IF(COUNTIF($D$2:$D$207,D113)&gt;1,"Duplicate",IF(AND(LEN(D113)-LEN(SUBSTITUTE(D113,"@",""))=1,ISNUMBER(SEARCH(".",D113,SEARCH("@",D113))),ISERROR(SEARCH(" ",D113))),"Valid","Invalid")))</f>
        <v>Missing</v>
      </c>
      <c r="R113" s="43" t="str">
        <f aca="false">IF(E113="","Missing",IF(COUNTIF($E$2:$E$207,E113)&gt;1,"Duplicate",IF(AND(LEN(E113)=16,LEFT(E113,5)="+63 9"),"Valid","Check")))</f>
        <v>Valid</v>
      </c>
      <c r="S113" s="43" t="str">
        <f aca="false">IF(AND(Q113="Valid",R113="Valid",N113&lt;&gt;""),"Complete","Needs follow-up")</f>
        <v>Needs follow-up</v>
      </c>
      <c r="T113" s="44" t="s">
        <v>694</v>
      </c>
    </row>
    <row r="114" customFormat="false" ht="18.75" hidden="false" customHeight="true" outlineLevel="0" collapsed="false">
      <c r="A114" s="38" t="s">
        <v>695</v>
      </c>
      <c r="B114" s="39" t="s">
        <v>220</v>
      </c>
      <c r="C114" s="39" t="s">
        <v>570</v>
      </c>
      <c r="D114" s="39" t="s">
        <v>696</v>
      </c>
      <c r="E114" s="39" t="s">
        <v>697</v>
      </c>
      <c r="F114" s="39" t="s">
        <v>150</v>
      </c>
      <c r="G114" s="39" t="s">
        <v>80</v>
      </c>
      <c r="H114" s="39" t="s">
        <v>164</v>
      </c>
      <c r="I114" s="40" t="n">
        <v>45534</v>
      </c>
      <c r="J114" s="40" t="n">
        <v>46261</v>
      </c>
      <c r="K114" s="33" t="n">
        <v>12</v>
      </c>
      <c r="L114" s="34" t="n">
        <v>17900</v>
      </c>
      <c r="M114" s="41" t="n">
        <f aca="false">IFERROR(L114/K114,0)</f>
        <v>1491.66666666667</v>
      </c>
      <c r="N114" s="39" t="s">
        <v>151</v>
      </c>
      <c r="O114" s="42" t="n">
        <f aca="false">IF(J114="","",AsOfDate-J114)</f>
        <v>34</v>
      </c>
      <c r="P114" s="43" t="str">
        <f aca="false">IF(A114="","",IF(AsOfDate-I114&lt;=90,"New",IF(AND(O114&lt;=180,L114&gt;=15000),"VIP",IF(O114&lt;=180,"Regular",IF(O114&lt;=365,"At risk","Lapsed")))))</f>
        <v>VIP</v>
      </c>
      <c r="Q114" s="43" t="str">
        <f aca="false">IF(D114="","Missing",IF(COUNTIF($D$2:$D$207,D114)&gt;1,"Duplicate",IF(AND(LEN(D114)-LEN(SUBSTITUTE(D114,"@",""))=1,ISNUMBER(SEARCH(".",D114,SEARCH("@",D114))),ISERROR(SEARCH(" ",D114))),"Valid","Invalid")))</f>
        <v>Valid</v>
      </c>
      <c r="R114" s="43" t="str">
        <f aca="false">IF(E114="","Missing",IF(COUNTIF($E$2:$E$207,E114)&gt;1,"Duplicate",IF(AND(LEN(E114)=16,LEFT(E114,5)="+63 9"),"Valid","Check")))</f>
        <v>Valid</v>
      </c>
      <c r="S114" s="43" t="str">
        <f aca="false">IF(AND(Q114="Valid",R114="Valid",N114&lt;&gt;""),"Complete","Needs follow-up")</f>
        <v>Complete</v>
      </c>
      <c r="T114" s="44" t="s">
        <v>698</v>
      </c>
    </row>
    <row r="115" customFormat="false" ht="18.75" hidden="false" customHeight="true" outlineLevel="0" collapsed="false">
      <c r="A115" s="38" t="s">
        <v>699</v>
      </c>
      <c r="B115" s="39" t="s">
        <v>214</v>
      </c>
      <c r="C115" s="39" t="s">
        <v>355</v>
      </c>
      <c r="D115" s="39" t="s">
        <v>700</v>
      </c>
      <c r="E115" s="39" t="s">
        <v>701</v>
      </c>
      <c r="F115" s="39" t="s">
        <v>137</v>
      </c>
      <c r="G115" s="39" t="s">
        <v>83</v>
      </c>
      <c r="H115" s="39" t="s">
        <v>312</v>
      </c>
      <c r="I115" s="40" t="n">
        <v>45535</v>
      </c>
      <c r="J115" s="40" t="n">
        <v>46013</v>
      </c>
      <c r="K115" s="33" t="n">
        <v>3</v>
      </c>
      <c r="L115" s="34" t="n">
        <v>4400</v>
      </c>
      <c r="M115" s="41" t="n">
        <f aca="false">IFERROR(L115/K115,0)</f>
        <v>1466.66666666667</v>
      </c>
      <c r="N115" s="39" t="s">
        <v>151</v>
      </c>
      <c r="O115" s="42" t="n">
        <f aca="false">IF(J115="","",AsOfDate-J115)</f>
        <v>282</v>
      </c>
      <c r="P115" s="43" t="str">
        <f aca="false">IF(A115="","",IF(AsOfDate-I115&lt;=90,"New",IF(AND(O115&lt;=180,L115&gt;=15000),"VIP",IF(O115&lt;=180,"Regular",IF(O115&lt;=365,"At risk","Lapsed")))))</f>
        <v>At risk</v>
      </c>
      <c r="Q115" s="43" t="str">
        <f aca="false">IF(D115="","Missing",IF(COUNTIF($D$2:$D$207,D115)&gt;1,"Duplicate",IF(AND(LEN(D115)-LEN(SUBSTITUTE(D115,"@",""))=1,ISNUMBER(SEARCH(".",D115,SEARCH("@",D115))),ISERROR(SEARCH(" ",D115))),"Valid","Invalid")))</f>
        <v>Valid</v>
      </c>
      <c r="R115" s="43" t="str">
        <f aca="false">IF(E115="","Missing",IF(COUNTIF($E$2:$E$207,E115)&gt;1,"Duplicate",IF(AND(LEN(E115)=16,LEFT(E115,5)="+63 9"),"Valid","Check")))</f>
        <v>Valid</v>
      </c>
      <c r="S115" s="43" t="str">
        <f aca="false">IF(AND(Q115="Valid",R115="Valid",N115&lt;&gt;""),"Complete","Needs follow-up")</f>
        <v>Complete</v>
      </c>
      <c r="T115" s="44" t="s">
        <v>702</v>
      </c>
    </row>
    <row r="116" customFormat="false" ht="18.75" hidden="false" customHeight="true" outlineLevel="0" collapsed="false">
      <c r="A116" s="38" t="s">
        <v>703</v>
      </c>
      <c r="B116" s="39" t="s">
        <v>704</v>
      </c>
      <c r="C116" s="39" t="s">
        <v>179</v>
      </c>
      <c r="D116" s="39" t="s">
        <v>705</v>
      </c>
      <c r="E116" s="39" t="s">
        <v>706</v>
      </c>
      <c r="F116" s="39" t="s">
        <v>324</v>
      </c>
      <c r="G116" s="39" t="s">
        <v>80</v>
      </c>
      <c r="H116" s="39" t="s">
        <v>121</v>
      </c>
      <c r="I116" s="40" t="n">
        <v>45543</v>
      </c>
      <c r="J116" s="40" t="n">
        <v>46181</v>
      </c>
      <c r="K116" s="33" t="n">
        <v>3</v>
      </c>
      <c r="L116" s="34" t="n">
        <v>2540</v>
      </c>
      <c r="M116" s="41" t="n">
        <f aca="false">IFERROR(L116/K116,0)</f>
        <v>846.666666666667</v>
      </c>
      <c r="N116" s="39" t="s">
        <v>151</v>
      </c>
      <c r="O116" s="42" t="n">
        <f aca="false">IF(J116="","",AsOfDate-J116)</f>
        <v>114</v>
      </c>
      <c r="P116" s="43" t="str">
        <f aca="false">IF(A116="","",IF(AsOfDate-I116&lt;=90,"New",IF(AND(O116&lt;=180,L116&gt;=15000),"VIP",IF(O116&lt;=180,"Regular",IF(O116&lt;=365,"At risk","Lapsed")))))</f>
        <v>Regular</v>
      </c>
      <c r="Q116" s="43" t="str">
        <f aca="false">IF(D116="","Missing",IF(COUNTIF($D$2:$D$207,D116)&gt;1,"Duplicate",IF(AND(LEN(D116)-LEN(SUBSTITUTE(D116,"@",""))=1,ISNUMBER(SEARCH(".",D116,SEARCH("@",D116))),ISERROR(SEARCH(" ",D116))),"Valid","Invalid")))</f>
        <v>Valid</v>
      </c>
      <c r="R116" s="43" t="str">
        <f aca="false">IF(E116="","Missing",IF(COUNTIF($E$2:$E$207,E116)&gt;1,"Duplicate",IF(AND(LEN(E116)=16,LEFT(E116,5)="+63 9"),"Valid","Check")))</f>
        <v>Valid</v>
      </c>
      <c r="S116" s="43" t="str">
        <f aca="false">IF(AND(Q116="Valid",R116="Valid",N116&lt;&gt;""),"Complete","Needs follow-up")</f>
        <v>Complete</v>
      </c>
      <c r="T116" s="44" t="s">
        <v>707</v>
      </c>
    </row>
    <row r="117" customFormat="false" ht="18.75" hidden="false" customHeight="true" outlineLevel="0" collapsed="false">
      <c r="A117" s="38" t="s">
        <v>708</v>
      </c>
      <c r="B117" s="39" t="s">
        <v>709</v>
      </c>
      <c r="C117" s="39" t="s">
        <v>361</v>
      </c>
      <c r="D117" s="39" t="s">
        <v>710</v>
      </c>
      <c r="E117" s="39" t="s">
        <v>711</v>
      </c>
      <c r="F117" s="39" t="s">
        <v>128</v>
      </c>
      <c r="G117" s="39" t="s">
        <v>79</v>
      </c>
      <c r="H117" s="39" t="s">
        <v>189</v>
      </c>
      <c r="I117" s="40" t="n">
        <v>45546</v>
      </c>
      <c r="J117" s="40" t="n">
        <v>46189</v>
      </c>
      <c r="K117" s="33" t="n">
        <v>8</v>
      </c>
      <c r="L117" s="34" t="n">
        <v>5550</v>
      </c>
      <c r="M117" s="41" t="n">
        <f aca="false">IFERROR(L117/K117,0)</f>
        <v>693.75</v>
      </c>
      <c r="N117" s="39" t="s">
        <v>130</v>
      </c>
      <c r="O117" s="42" t="n">
        <f aca="false">IF(J117="","",AsOfDate-J117)</f>
        <v>106</v>
      </c>
      <c r="P117" s="43" t="str">
        <f aca="false">IF(A117="","",IF(AsOfDate-I117&lt;=90,"New",IF(AND(O117&lt;=180,L117&gt;=15000),"VIP",IF(O117&lt;=180,"Regular",IF(O117&lt;=365,"At risk","Lapsed")))))</f>
        <v>Regular</v>
      </c>
      <c r="Q117" s="43" t="str">
        <f aca="false">IF(D117="","Missing",IF(COUNTIF($D$2:$D$207,D117)&gt;1,"Duplicate",IF(AND(LEN(D117)-LEN(SUBSTITUTE(D117,"@",""))=1,ISNUMBER(SEARCH(".",D117,SEARCH("@",D117))),ISERROR(SEARCH(" ",D117))),"Valid","Invalid")))</f>
        <v>Valid</v>
      </c>
      <c r="R117" s="43" t="str">
        <f aca="false">IF(E117="","Missing",IF(COUNTIF($E$2:$E$207,E117)&gt;1,"Duplicate",IF(AND(LEN(E117)=16,LEFT(E117,5)="+63 9"),"Valid","Check")))</f>
        <v>Valid</v>
      </c>
      <c r="S117" s="43" t="str">
        <f aca="false">IF(AND(Q117="Valid",R117="Valid",N117&lt;&gt;""),"Complete","Needs follow-up")</f>
        <v>Complete</v>
      </c>
      <c r="T117" s="44" t="s">
        <v>712</v>
      </c>
    </row>
    <row r="118" customFormat="false" ht="18.75" hidden="false" customHeight="true" outlineLevel="0" collapsed="false">
      <c r="A118" s="38" t="s">
        <v>713</v>
      </c>
      <c r="B118" s="39" t="s">
        <v>633</v>
      </c>
      <c r="C118" s="39" t="s">
        <v>361</v>
      </c>
      <c r="D118" s="39" t="s">
        <v>714</v>
      </c>
      <c r="E118" s="39" t="s">
        <v>715</v>
      </c>
      <c r="F118" s="39" t="s">
        <v>128</v>
      </c>
      <c r="G118" s="39" t="s">
        <v>79</v>
      </c>
      <c r="H118" s="39" t="s">
        <v>121</v>
      </c>
      <c r="I118" s="40" t="n">
        <v>45546</v>
      </c>
      <c r="J118" s="40" t="n">
        <v>46202</v>
      </c>
      <c r="K118" s="33" t="n">
        <v>10</v>
      </c>
      <c r="L118" s="34" t="n">
        <v>7930</v>
      </c>
      <c r="M118" s="41" t="n">
        <f aca="false">IFERROR(L118/K118,0)</f>
        <v>793</v>
      </c>
      <c r="N118" s="39" t="s">
        <v>130</v>
      </c>
      <c r="O118" s="42" t="n">
        <f aca="false">IF(J118="","",AsOfDate-J118)</f>
        <v>93</v>
      </c>
      <c r="P118" s="43" t="str">
        <f aca="false">IF(A118="","",IF(AsOfDate-I118&lt;=90,"New",IF(AND(O118&lt;=180,L118&gt;=15000),"VIP",IF(O118&lt;=180,"Regular",IF(O118&lt;=365,"At risk","Lapsed")))))</f>
        <v>Regular</v>
      </c>
      <c r="Q118" s="43" t="str">
        <f aca="false">IF(D118="","Missing",IF(COUNTIF($D$2:$D$207,D118)&gt;1,"Duplicate",IF(AND(LEN(D118)-LEN(SUBSTITUTE(D118,"@",""))=1,ISNUMBER(SEARCH(".",D118,SEARCH("@",D118))),ISERROR(SEARCH(" ",D118))),"Valid","Invalid")))</f>
        <v>Valid</v>
      </c>
      <c r="R118" s="43" t="str">
        <f aca="false">IF(E118="","Missing",IF(COUNTIF($E$2:$E$207,E118)&gt;1,"Duplicate",IF(AND(LEN(E118)=16,LEFT(E118,5)="+63 9"),"Valid","Check")))</f>
        <v>Valid</v>
      </c>
      <c r="S118" s="43" t="str">
        <f aca="false">IF(AND(Q118="Valid",R118="Valid",N118&lt;&gt;""),"Complete","Needs follow-up")</f>
        <v>Complete</v>
      </c>
      <c r="T118" s="44" t="s">
        <v>716</v>
      </c>
    </row>
    <row r="119" customFormat="false" ht="18.75" hidden="false" customHeight="true" outlineLevel="0" collapsed="false">
      <c r="A119" s="38" t="s">
        <v>717</v>
      </c>
      <c r="B119" s="39" t="s">
        <v>298</v>
      </c>
      <c r="C119" s="39" t="s">
        <v>125</v>
      </c>
      <c r="D119" s="39" t="s">
        <v>718</v>
      </c>
      <c r="E119" s="39" t="s">
        <v>719</v>
      </c>
      <c r="F119" s="39" t="s">
        <v>150</v>
      </c>
      <c r="G119" s="39" t="s">
        <v>80</v>
      </c>
      <c r="H119" s="39" t="s">
        <v>121</v>
      </c>
      <c r="I119" s="40" t="n">
        <v>45556</v>
      </c>
      <c r="J119" s="40" t="n">
        <v>46016</v>
      </c>
      <c r="K119" s="33" t="n">
        <v>3</v>
      </c>
      <c r="L119" s="34" t="n">
        <v>5120</v>
      </c>
      <c r="M119" s="41" t="n">
        <f aca="false">IFERROR(L119/K119,0)</f>
        <v>1706.66666666667</v>
      </c>
      <c r="N119" s="39" t="s">
        <v>130</v>
      </c>
      <c r="O119" s="42" t="n">
        <f aca="false">IF(J119="","",AsOfDate-J119)</f>
        <v>279</v>
      </c>
      <c r="P119" s="43" t="str">
        <f aca="false">IF(A119="","",IF(AsOfDate-I119&lt;=90,"New",IF(AND(O119&lt;=180,L119&gt;=15000),"VIP",IF(O119&lt;=180,"Regular",IF(O119&lt;=365,"At risk","Lapsed")))))</f>
        <v>At risk</v>
      </c>
      <c r="Q119" s="43" t="str">
        <f aca="false">IF(D119="","Missing",IF(COUNTIF($D$2:$D$207,D119)&gt;1,"Duplicate",IF(AND(LEN(D119)-LEN(SUBSTITUTE(D119,"@",""))=1,ISNUMBER(SEARCH(".",D119,SEARCH("@",D119))),ISERROR(SEARCH(" ",D119))),"Valid","Invalid")))</f>
        <v>Valid</v>
      </c>
      <c r="R119" s="43" t="str">
        <f aca="false">IF(E119="","Missing",IF(COUNTIF($E$2:$E$207,E119)&gt;1,"Duplicate",IF(AND(LEN(E119)=16,LEFT(E119,5)="+63 9"),"Valid","Check")))</f>
        <v>Valid</v>
      </c>
      <c r="S119" s="43" t="str">
        <f aca="false">IF(AND(Q119="Valid",R119="Valid",N119&lt;&gt;""),"Complete","Needs follow-up")</f>
        <v>Complete</v>
      </c>
      <c r="T119" s="44" t="s">
        <v>720</v>
      </c>
    </row>
    <row r="120" customFormat="false" ht="18.75" hidden="false" customHeight="true" outlineLevel="0" collapsed="false">
      <c r="A120" s="38" t="s">
        <v>721</v>
      </c>
      <c r="B120" s="39" t="s">
        <v>722</v>
      </c>
      <c r="C120" s="39" t="s">
        <v>553</v>
      </c>
      <c r="D120" s="39" t="s">
        <v>723</v>
      </c>
      <c r="E120" s="39" t="s">
        <v>724</v>
      </c>
      <c r="F120" s="39" t="s">
        <v>217</v>
      </c>
      <c r="G120" s="39" t="s">
        <v>79</v>
      </c>
      <c r="H120" s="39" t="s">
        <v>312</v>
      </c>
      <c r="I120" s="40" t="n">
        <v>45560</v>
      </c>
      <c r="J120" s="40" t="n">
        <v>46273</v>
      </c>
      <c r="K120" s="33" t="n">
        <v>7</v>
      </c>
      <c r="L120" s="34" t="n">
        <v>6980</v>
      </c>
      <c r="M120" s="41" t="n">
        <f aca="false">IFERROR(L120/K120,0)</f>
        <v>997.142857142857</v>
      </c>
      <c r="N120" s="39" t="s">
        <v>151</v>
      </c>
      <c r="O120" s="42" t="n">
        <f aca="false">IF(J120="","",AsOfDate-J120)</f>
        <v>22</v>
      </c>
      <c r="P120" s="43" t="str">
        <f aca="false">IF(A120="","",IF(AsOfDate-I120&lt;=90,"New",IF(AND(O120&lt;=180,L120&gt;=15000),"VIP",IF(O120&lt;=180,"Regular",IF(O120&lt;=365,"At risk","Lapsed")))))</f>
        <v>Regular</v>
      </c>
      <c r="Q120" s="43" t="str">
        <f aca="false">IF(D120="","Missing",IF(COUNTIF($D$2:$D$207,D120)&gt;1,"Duplicate",IF(AND(LEN(D120)-LEN(SUBSTITUTE(D120,"@",""))=1,ISNUMBER(SEARCH(".",D120,SEARCH("@",D120))),ISERROR(SEARCH(" ",D120))),"Valid","Invalid")))</f>
        <v>Valid</v>
      </c>
      <c r="R120" s="43" t="str">
        <f aca="false">IF(E120="","Missing",IF(COUNTIF($E$2:$E$207,E120)&gt;1,"Duplicate",IF(AND(LEN(E120)=16,LEFT(E120,5)="+63 9"),"Valid","Check")))</f>
        <v>Valid</v>
      </c>
      <c r="S120" s="43" t="str">
        <f aca="false">IF(AND(Q120="Valid",R120="Valid",N120&lt;&gt;""),"Complete","Needs follow-up")</f>
        <v>Complete</v>
      </c>
      <c r="T120" s="44" t="s">
        <v>725</v>
      </c>
    </row>
    <row r="121" customFormat="false" ht="18.75" hidden="false" customHeight="true" outlineLevel="0" collapsed="false">
      <c r="A121" s="38" t="s">
        <v>726</v>
      </c>
      <c r="B121" s="39" t="s">
        <v>686</v>
      </c>
      <c r="C121" s="39" t="s">
        <v>727</v>
      </c>
      <c r="D121" s="39" t="s">
        <v>728</v>
      </c>
      <c r="E121" s="39" t="s">
        <v>729</v>
      </c>
      <c r="F121" s="39" t="s">
        <v>257</v>
      </c>
      <c r="G121" s="39" t="s">
        <v>81</v>
      </c>
      <c r="H121" s="39" t="s">
        <v>129</v>
      </c>
      <c r="I121" s="40" t="n">
        <v>45572</v>
      </c>
      <c r="J121" s="40" t="n">
        <v>46095</v>
      </c>
      <c r="K121" s="33" t="n">
        <v>7</v>
      </c>
      <c r="L121" s="34" t="n">
        <v>9450</v>
      </c>
      <c r="M121" s="41" t="n">
        <f aca="false">IFERROR(L121/K121,0)</f>
        <v>1350</v>
      </c>
      <c r="N121" s="39" t="s">
        <v>130</v>
      </c>
      <c r="O121" s="42" t="n">
        <f aca="false">IF(J121="","",AsOfDate-J121)</f>
        <v>200</v>
      </c>
      <c r="P121" s="43" t="str">
        <f aca="false">IF(A121="","",IF(AsOfDate-I121&lt;=90,"New",IF(AND(O121&lt;=180,L121&gt;=15000),"VIP",IF(O121&lt;=180,"Regular",IF(O121&lt;=365,"At risk","Lapsed")))))</f>
        <v>At risk</v>
      </c>
      <c r="Q121" s="43" t="str">
        <f aca="false">IF(D121="","Missing",IF(COUNTIF($D$2:$D$207,D121)&gt;1,"Duplicate",IF(AND(LEN(D121)-LEN(SUBSTITUTE(D121,"@",""))=1,ISNUMBER(SEARCH(".",D121,SEARCH("@",D121))),ISERROR(SEARCH(" ",D121))),"Valid","Invalid")))</f>
        <v>Valid</v>
      </c>
      <c r="R121" s="43" t="str">
        <f aca="false">IF(E121="","Missing",IF(COUNTIF($E$2:$E$207,E121)&gt;1,"Duplicate",IF(AND(LEN(E121)=16,LEFT(E121,5)="+63 9"),"Valid","Check")))</f>
        <v>Valid</v>
      </c>
      <c r="S121" s="43" t="str">
        <f aca="false">IF(AND(Q121="Valid",R121="Valid",N121&lt;&gt;""),"Complete","Needs follow-up")</f>
        <v>Complete</v>
      </c>
      <c r="T121" s="44" t="s">
        <v>730</v>
      </c>
    </row>
    <row r="122" customFormat="false" ht="18.75" hidden="false" customHeight="true" outlineLevel="0" collapsed="false">
      <c r="A122" s="38" t="s">
        <v>731</v>
      </c>
      <c r="B122" s="39" t="s">
        <v>547</v>
      </c>
      <c r="C122" s="39" t="s">
        <v>430</v>
      </c>
      <c r="D122" s="39" t="s">
        <v>732</v>
      </c>
      <c r="E122" s="39" t="s">
        <v>733</v>
      </c>
      <c r="F122" s="39" t="s">
        <v>163</v>
      </c>
      <c r="G122" s="39" t="s">
        <v>79</v>
      </c>
      <c r="H122" s="39" t="s">
        <v>164</v>
      </c>
      <c r="I122" s="40" t="n">
        <v>45584</v>
      </c>
      <c r="J122" s="40" t="n">
        <v>46154</v>
      </c>
      <c r="K122" s="33" t="n">
        <v>3</v>
      </c>
      <c r="L122" s="34" t="n">
        <v>3970</v>
      </c>
      <c r="M122" s="41" t="n">
        <f aca="false">IFERROR(L122/K122,0)</f>
        <v>1323.33333333333</v>
      </c>
      <c r="N122" s="39" t="s">
        <v>130</v>
      </c>
      <c r="O122" s="42" t="n">
        <f aca="false">IF(J122="","",AsOfDate-J122)</f>
        <v>141</v>
      </c>
      <c r="P122" s="43" t="str">
        <f aca="false">IF(A122="","",IF(AsOfDate-I122&lt;=90,"New",IF(AND(O122&lt;=180,L122&gt;=15000),"VIP",IF(O122&lt;=180,"Regular",IF(O122&lt;=365,"At risk","Lapsed")))))</f>
        <v>Regular</v>
      </c>
      <c r="Q122" s="43" t="str">
        <f aca="false">IF(D122="","Missing",IF(COUNTIF($D$2:$D$207,D122)&gt;1,"Duplicate",IF(AND(LEN(D122)-LEN(SUBSTITUTE(D122,"@",""))=1,ISNUMBER(SEARCH(".",D122,SEARCH("@",D122))),ISERROR(SEARCH(" ",D122))),"Valid","Invalid")))</f>
        <v>Valid</v>
      </c>
      <c r="R122" s="43" t="str">
        <f aca="false">IF(E122="","Missing",IF(COUNTIF($E$2:$E$207,E122)&gt;1,"Duplicate",IF(AND(LEN(E122)=16,LEFT(E122,5)="+63 9"),"Valid","Check")))</f>
        <v>Valid</v>
      </c>
      <c r="S122" s="43" t="str">
        <f aca="false">IF(AND(Q122="Valid",R122="Valid",N122&lt;&gt;""),"Complete","Needs follow-up")</f>
        <v>Complete</v>
      </c>
      <c r="T122" s="44" t="s">
        <v>734</v>
      </c>
    </row>
    <row r="123" customFormat="false" ht="18.75" hidden="false" customHeight="true" outlineLevel="0" collapsed="false">
      <c r="A123" s="38" t="s">
        <v>735</v>
      </c>
      <c r="B123" s="39" t="s">
        <v>736</v>
      </c>
      <c r="C123" s="39" t="s">
        <v>179</v>
      </c>
      <c r="D123" s="39" t="s">
        <v>737</v>
      </c>
      <c r="E123" s="39" t="s">
        <v>738</v>
      </c>
      <c r="F123" s="39" t="s">
        <v>217</v>
      </c>
      <c r="G123" s="39" t="s">
        <v>79</v>
      </c>
      <c r="H123" s="39" t="s">
        <v>129</v>
      </c>
      <c r="I123" s="40" t="n">
        <v>45588</v>
      </c>
      <c r="J123" s="40" t="n">
        <v>46071</v>
      </c>
      <c r="K123" s="33" t="n">
        <v>4</v>
      </c>
      <c r="L123" s="34" t="n">
        <v>5990</v>
      </c>
      <c r="M123" s="41" t="n">
        <f aca="false">IFERROR(L123/K123,0)</f>
        <v>1497.5</v>
      </c>
      <c r="N123" s="39" t="s">
        <v>151</v>
      </c>
      <c r="O123" s="42" t="n">
        <f aca="false">IF(J123="","",AsOfDate-J123)</f>
        <v>224</v>
      </c>
      <c r="P123" s="43" t="str">
        <f aca="false">IF(A123="","",IF(AsOfDate-I123&lt;=90,"New",IF(AND(O123&lt;=180,L123&gt;=15000),"VIP",IF(O123&lt;=180,"Regular",IF(O123&lt;=365,"At risk","Lapsed")))))</f>
        <v>At risk</v>
      </c>
      <c r="Q123" s="43" t="str">
        <f aca="false">IF(D123="","Missing",IF(COUNTIF($D$2:$D$207,D123)&gt;1,"Duplicate",IF(AND(LEN(D123)-LEN(SUBSTITUTE(D123,"@",""))=1,ISNUMBER(SEARCH(".",D123,SEARCH("@",D123))),ISERROR(SEARCH(" ",D123))),"Valid","Invalid")))</f>
        <v>Valid</v>
      </c>
      <c r="R123" s="43" t="str">
        <f aca="false">IF(E123="","Missing",IF(COUNTIF($E$2:$E$207,E123)&gt;1,"Duplicate",IF(AND(LEN(E123)=16,LEFT(E123,5)="+63 9"),"Valid","Check")))</f>
        <v>Valid</v>
      </c>
      <c r="S123" s="43" t="str">
        <f aca="false">IF(AND(Q123="Valid",R123="Valid",N123&lt;&gt;""),"Complete","Needs follow-up")</f>
        <v>Complete</v>
      </c>
      <c r="T123" s="44" t="s">
        <v>739</v>
      </c>
    </row>
    <row r="124" customFormat="false" ht="18.75" hidden="false" customHeight="true" outlineLevel="0" collapsed="false">
      <c r="A124" s="38" t="s">
        <v>740</v>
      </c>
      <c r="B124" s="39" t="s">
        <v>146</v>
      </c>
      <c r="C124" s="39" t="s">
        <v>741</v>
      </c>
      <c r="D124" s="39" t="s">
        <v>742</v>
      </c>
      <c r="E124" s="39" t="s">
        <v>743</v>
      </c>
      <c r="F124" s="39" t="s">
        <v>257</v>
      </c>
      <c r="G124" s="39" t="s">
        <v>81</v>
      </c>
      <c r="H124" s="39" t="s">
        <v>129</v>
      </c>
      <c r="I124" s="40" t="n">
        <v>45604</v>
      </c>
      <c r="J124" s="40" t="n">
        <v>46213</v>
      </c>
      <c r="K124" s="33" t="n">
        <v>5</v>
      </c>
      <c r="L124" s="34" t="n">
        <v>8520</v>
      </c>
      <c r="M124" s="41" t="n">
        <f aca="false">IFERROR(L124/K124,0)</f>
        <v>1704</v>
      </c>
      <c r="N124" s="39" t="s">
        <v>130</v>
      </c>
      <c r="O124" s="42" t="n">
        <f aca="false">IF(J124="","",AsOfDate-J124)</f>
        <v>82</v>
      </c>
      <c r="P124" s="43" t="str">
        <f aca="false">IF(A124="","",IF(AsOfDate-I124&lt;=90,"New",IF(AND(O124&lt;=180,L124&gt;=15000),"VIP",IF(O124&lt;=180,"Regular",IF(O124&lt;=365,"At risk","Lapsed")))))</f>
        <v>Regular</v>
      </c>
      <c r="Q124" s="43" t="str">
        <f aca="false">IF(D124="","Missing",IF(COUNTIF($D$2:$D$207,D124)&gt;1,"Duplicate",IF(AND(LEN(D124)-LEN(SUBSTITUTE(D124,"@",""))=1,ISNUMBER(SEARCH(".",D124,SEARCH("@",D124))),ISERROR(SEARCH(" ",D124))),"Valid","Invalid")))</f>
        <v>Valid</v>
      </c>
      <c r="R124" s="43" t="str">
        <f aca="false">IF(E124="","Missing",IF(COUNTIF($E$2:$E$207,E124)&gt;1,"Duplicate",IF(AND(LEN(E124)=16,LEFT(E124,5)="+63 9"),"Valid","Check")))</f>
        <v>Valid</v>
      </c>
      <c r="S124" s="43" t="str">
        <f aca="false">IF(AND(Q124="Valid",R124="Valid",N124&lt;&gt;""),"Complete","Needs follow-up")</f>
        <v>Complete</v>
      </c>
      <c r="T124" s="44" t="s">
        <v>744</v>
      </c>
    </row>
    <row r="125" customFormat="false" ht="18.75" hidden="false" customHeight="true" outlineLevel="0" collapsed="false">
      <c r="A125" s="38" t="s">
        <v>745</v>
      </c>
      <c r="B125" s="39" t="s">
        <v>704</v>
      </c>
      <c r="C125" s="39" t="s">
        <v>746</v>
      </c>
      <c r="D125" s="39" t="s">
        <v>747</v>
      </c>
      <c r="E125" s="39" t="s">
        <v>748</v>
      </c>
      <c r="F125" s="39" t="s">
        <v>137</v>
      </c>
      <c r="G125" s="39" t="s">
        <v>83</v>
      </c>
      <c r="H125" s="39" t="s">
        <v>121</v>
      </c>
      <c r="I125" s="40" t="n">
        <v>45604</v>
      </c>
      <c r="J125" s="40" t="n">
        <v>45953</v>
      </c>
      <c r="K125" s="33" t="n">
        <v>9</v>
      </c>
      <c r="L125" s="34" t="n">
        <v>15840</v>
      </c>
      <c r="M125" s="41" t="n">
        <f aca="false">IFERROR(L125/K125,0)</f>
        <v>1760</v>
      </c>
      <c r="N125" s="39" t="s">
        <v>130</v>
      </c>
      <c r="O125" s="42" t="n">
        <f aca="false">IF(J125="","",AsOfDate-J125)</f>
        <v>342</v>
      </c>
      <c r="P125" s="43" t="str">
        <f aca="false">IF(A125="","",IF(AsOfDate-I125&lt;=90,"New",IF(AND(O125&lt;=180,L125&gt;=15000),"VIP",IF(O125&lt;=180,"Regular",IF(O125&lt;=365,"At risk","Lapsed")))))</f>
        <v>At risk</v>
      </c>
      <c r="Q125" s="43" t="str">
        <f aca="false">IF(D125="","Missing",IF(COUNTIF($D$2:$D$207,D125)&gt;1,"Duplicate",IF(AND(LEN(D125)-LEN(SUBSTITUTE(D125,"@",""))=1,ISNUMBER(SEARCH(".",D125,SEARCH("@",D125))),ISERROR(SEARCH(" ",D125))),"Valid","Invalid")))</f>
        <v>Valid</v>
      </c>
      <c r="R125" s="43" t="str">
        <f aca="false">IF(E125="","Missing",IF(COUNTIF($E$2:$E$207,E125)&gt;1,"Duplicate",IF(AND(LEN(E125)=16,LEFT(E125,5)="+63 9"),"Valid","Check")))</f>
        <v>Valid</v>
      </c>
      <c r="S125" s="43" t="str">
        <f aca="false">IF(AND(Q125="Valid",R125="Valid",N125&lt;&gt;""),"Complete","Needs follow-up")</f>
        <v>Complete</v>
      </c>
      <c r="T125" s="44" t="s">
        <v>749</v>
      </c>
    </row>
    <row r="126" customFormat="false" ht="18.75" hidden="false" customHeight="true" outlineLevel="0" collapsed="false">
      <c r="A126" s="38" t="s">
        <v>750</v>
      </c>
      <c r="B126" s="39" t="s">
        <v>709</v>
      </c>
      <c r="C126" s="39" t="s">
        <v>751</v>
      </c>
      <c r="D126" s="39" t="s">
        <v>752</v>
      </c>
      <c r="E126" s="39" t="s">
        <v>753</v>
      </c>
      <c r="F126" s="39" t="s">
        <v>120</v>
      </c>
      <c r="G126" s="39" t="s">
        <v>80</v>
      </c>
      <c r="H126" s="39" t="s">
        <v>121</v>
      </c>
      <c r="I126" s="40" t="n">
        <v>45606</v>
      </c>
      <c r="J126" s="40" t="n">
        <v>46042</v>
      </c>
      <c r="K126" s="33" t="n">
        <v>9</v>
      </c>
      <c r="L126" s="34" t="n">
        <v>7390</v>
      </c>
      <c r="M126" s="41" t="n">
        <f aca="false">IFERROR(L126/K126,0)</f>
        <v>821.111111111111</v>
      </c>
      <c r="N126" s="39"/>
      <c r="O126" s="42" t="n">
        <f aca="false">IF(J126="","",AsOfDate-J126)</f>
        <v>253</v>
      </c>
      <c r="P126" s="43" t="str">
        <f aca="false">IF(A126="","",IF(AsOfDate-I126&lt;=90,"New",IF(AND(O126&lt;=180,L126&gt;=15000),"VIP",IF(O126&lt;=180,"Regular",IF(O126&lt;=365,"At risk","Lapsed")))))</f>
        <v>At risk</v>
      </c>
      <c r="Q126" s="43" t="str">
        <f aca="false">IF(D126="","Missing",IF(COUNTIF($D$2:$D$207,D126)&gt;1,"Duplicate",IF(AND(LEN(D126)-LEN(SUBSTITUTE(D126,"@",""))=1,ISNUMBER(SEARCH(".",D126,SEARCH("@",D126))),ISERROR(SEARCH(" ",D126))),"Valid","Invalid")))</f>
        <v>Valid</v>
      </c>
      <c r="R126" s="43" t="str">
        <f aca="false">IF(E126="","Missing",IF(COUNTIF($E$2:$E$207,E126)&gt;1,"Duplicate",IF(AND(LEN(E126)=16,LEFT(E126,5)="+63 9"),"Valid","Check")))</f>
        <v>Valid</v>
      </c>
      <c r="S126" s="43" t="str">
        <f aca="false">IF(AND(Q126="Valid",R126="Valid",N126&lt;&gt;""),"Complete","Needs follow-up")</f>
        <v>Needs follow-up</v>
      </c>
      <c r="T126" s="44" t="s">
        <v>754</v>
      </c>
    </row>
    <row r="127" customFormat="false" ht="18.75" hidden="false" customHeight="true" outlineLevel="0" collapsed="false">
      <c r="A127" s="38" t="s">
        <v>755</v>
      </c>
      <c r="B127" s="39" t="s">
        <v>756</v>
      </c>
      <c r="C127" s="39" t="s">
        <v>355</v>
      </c>
      <c r="D127" s="39" t="s">
        <v>757</v>
      </c>
      <c r="E127" s="39" t="s">
        <v>758</v>
      </c>
      <c r="F127" s="39" t="s">
        <v>128</v>
      </c>
      <c r="G127" s="39" t="s">
        <v>79</v>
      </c>
      <c r="H127" s="39" t="s">
        <v>285</v>
      </c>
      <c r="I127" s="40" t="n">
        <v>45607</v>
      </c>
      <c r="J127" s="40" t="n">
        <v>46101</v>
      </c>
      <c r="K127" s="33" t="n">
        <v>3</v>
      </c>
      <c r="L127" s="34" t="n">
        <v>4310</v>
      </c>
      <c r="M127" s="41" t="n">
        <f aca="false">IFERROR(L127/K127,0)</f>
        <v>1436.66666666667</v>
      </c>
      <c r="N127" s="39" t="s">
        <v>151</v>
      </c>
      <c r="O127" s="42" t="n">
        <f aca="false">IF(J127="","",AsOfDate-J127)</f>
        <v>194</v>
      </c>
      <c r="P127" s="43" t="str">
        <f aca="false">IF(A127="","",IF(AsOfDate-I127&lt;=90,"New",IF(AND(O127&lt;=180,L127&gt;=15000),"VIP",IF(O127&lt;=180,"Regular",IF(O127&lt;=365,"At risk","Lapsed")))))</f>
        <v>At risk</v>
      </c>
      <c r="Q127" s="43" t="str">
        <f aca="false">IF(D127="","Missing",IF(COUNTIF($D$2:$D$207,D127)&gt;1,"Duplicate",IF(AND(LEN(D127)-LEN(SUBSTITUTE(D127,"@",""))=1,ISNUMBER(SEARCH(".",D127,SEARCH("@",D127))),ISERROR(SEARCH(" ",D127))),"Valid","Invalid")))</f>
        <v>Valid</v>
      </c>
      <c r="R127" s="43" t="str">
        <f aca="false">IF(E127="","Missing",IF(COUNTIF($E$2:$E$207,E127)&gt;1,"Duplicate",IF(AND(LEN(E127)=16,LEFT(E127,5)="+63 9"),"Valid","Check")))</f>
        <v>Valid</v>
      </c>
      <c r="S127" s="43" t="str">
        <f aca="false">IF(AND(Q127="Valid",R127="Valid",N127&lt;&gt;""),"Complete","Needs follow-up")</f>
        <v>Complete</v>
      </c>
      <c r="T127" s="44" t="s">
        <v>759</v>
      </c>
    </row>
    <row r="128" customFormat="false" ht="18.75" hidden="false" customHeight="true" outlineLevel="0" collapsed="false">
      <c r="A128" s="38" t="s">
        <v>760</v>
      </c>
      <c r="B128" s="39" t="s">
        <v>761</v>
      </c>
      <c r="C128" s="39" t="s">
        <v>179</v>
      </c>
      <c r="D128" s="39" t="s">
        <v>762</v>
      </c>
      <c r="E128" s="39" t="s">
        <v>763</v>
      </c>
      <c r="F128" s="39" t="s">
        <v>137</v>
      </c>
      <c r="G128" s="39" t="s">
        <v>83</v>
      </c>
      <c r="H128" s="39" t="s">
        <v>285</v>
      </c>
      <c r="I128" s="40" t="n">
        <v>45612</v>
      </c>
      <c r="J128" s="40" t="n">
        <v>46220</v>
      </c>
      <c r="K128" s="33" t="n">
        <v>4</v>
      </c>
      <c r="L128" s="34" t="n">
        <v>4310</v>
      </c>
      <c r="M128" s="41" t="n">
        <f aca="false">IFERROR(L128/K128,0)</f>
        <v>1077.5</v>
      </c>
      <c r="N128" s="39" t="s">
        <v>130</v>
      </c>
      <c r="O128" s="42" t="n">
        <f aca="false">IF(J128="","",AsOfDate-J128)</f>
        <v>75</v>
      </c>
      <c r="P128" s="43" t="str">
        <f aca="false">IF(A128="","",IF(AsOfDate-I128&lt;=90,"New",IF(AND(O128&lt;=180,L128&gt;=15000),"VIP",IF(O128&lt;=180,"Regular",IF(O128&lt;=365,"At risk","Lapsed")))))</f>
        <v>Regular</v>
      </c>
      <c r="Q128" s="43" t="str">
        <f aca="false">IF(D128="","Missing",IF(COUNTIF($D$2:$D$207,D128)&gt;1,"Duplicate",IF(AND(LEN(D128)-LEN(SUBSTITUTE(D128,"@",""))=1,ISNUMBER(SEARCH(".",D128,SEARCH("@",D128))),ISERROR(SEARCH(" ",D128))),"Valid","Invalid")))</f>
        <v>Valid</v>
      </c>
      <c r="R128" s="43" t="str">
        <f aca="false">IF(E128="","Missing",IF(COUNTIF($E$2:$E$207,E128)&gt;1,"Duplicate",IF(AND(LEN(E128)=16,LEFT(E128,5)="+63 9"),"Valid","Check")))</f>
        <v>Valid</v>
      </c>
      <c r="S128" s="43" t="str">
        <f aca="false">IF(AND(Q128="Valid",R128="Valid",N128&lt;&gt;""),"Complete","Needs follow-up")</f>
        <v>Complete</v>
      </c>
      <c r="T128" s="44" t="s">
        <v>764</v>
      </c>
    </row>
    <row r="129" customFormat="false" ht="18.75" hidden="false" customHeight="true" outlineLevel="0" collapsed="false">
      <c r="A129" s="38" t="s">
        <v>765</v>
      </c>
      <c r="B129" s="39" t="s">
        <v>470</v>
      </c>
      <c r="C129" s="39" t="s">
        <v>570</v>
      </c>
      <c r="D129" s="39" t="s">
        <v>766</v>
      </c>
      <c r="E129" s="39" t="s">
        <v>767</v>
      </c>
      <c r="F129" s="39" t="s">
        <v>150</v>
      </c>
      <c r="G129" s="39" t="s">
        <v>80</v>
      </c>
      <c r="H129" s="39" t="s">
        <v>312</v>
      </c>
      <c r="I129" s="40" t="n">
        <v>45613</v>
      </c>
      <c r="J129" s="40" t="n">
        <v>46197</v>
      </c>
      <c r="K129" s="33" t="n">
        <v>27</v>
      </c>
      <c r="L129" s="34" t="n">
        <v>44090</v>
      </c>
      <c r="M129" s="41" t="n">
        <f aca="false">IFERROR(L129/K129,0)</f>
        <v>1632.96296296296</v>
      </c>
      <c r="N129" s="39" t="s">
        <v>151</v>
      </c>
      <c r="O129" s="42" t="n">
        <f aca="false">IF(J129="","",AsOfDate-J129)</f>
        <v>98</v>
      </c>
      <c r="P129" s="43" t="str">
        <f aca="false">IF(A129="","",IF(AsOfDate-I129&lt;=90,"New",IF(AND(O129&lt;=180,L129&gt;=15000),"VIP",IF(O129&lt;=180,"Regular",IF(O129&lt;=365,"At risk","Lapsed")))))</f>
        <v>VIP</v>
      </c>
      <c r="Q129" s="43" t="str">
        <f aca="false">IF(D129="","Missing",IF(COUNTIF($D$2:$D$207,D129)&gt;1,"Duplicate",IF(AND(LEN(D129)-LEN(SUBSTITUTE(D129,"@",""))=1,ISNUMBER(SEARCH(".",D129,SEARCH("@",D129))),ISERROR(SEARCH(" ",D129))),"Valid","Invalid")))</f>
        <v>Valid</v>
      </c>
      <c r="R129" s="43" t="str">
        <f aca="false">IF(E129="","Missing",IF(COUNTIF($E$2:$E$207,E129)&gt;1,"Duplicate",IF(AND(LEN(E129)=16,LEFT(E129,5)="+63 9"),"Valid","Check")))</f>
        <v>Valid</v>
      </c>
      <c r="S129" s="43" t="str">
        <f aca="false">IF(AND(Q129="Valid",R129="Valid",N129&lt;&gt;""),"Complete","Needs follow-up")</f>
        <v>Complete</v>
      </c>
      <c r="T129" s="44" t="s">
        <v>768</v>
      </c>
    </row>
    <row r="130" customFormat="false" ht="18.75" hidden="false" customHeight="true" outlineLevel="0" collapsed="false">
      <c r="A130" s="38" t="s">
        <v>769</v>
      </c>
      <c r="B130" s="39" t="s">
        <v>770</v>
      </c>
      <c r="C130" s="39" t="s">
        <v>349</v>
      </c>
      <c r="D130" s="39" t="s">
        <v>771</v>
      </c>
      <c r="E130" s="39" t="s">
        <v>772</v>
      </c>
      <c r="F130" s="39" t="s">
        <v>150</v>
      </c>
      <c r="G130" s="39" t="s">
        <v>80</v>
      </c>
      <c r="H130" s="39" t="s">
        <v>129</v>
      </c>
      <c r="I130" s="40" t="n">
        <v>45616</v>
      </c>
      <c r="J130" s="40" t="n">
        <v>46164</v>
      </c>
      <c r="K130" s="33" t="n">
        <v>11</v>
      </c>
      <c r="L130" s="34" t="n">
        <v>9800</v>
      </c>
      <c r="M130" s="41" t="n">
        <f aca="false">IFERROR(L130/K130,0)</f>
        <v>890.909090909091</v>
      </c>
      <c r="N130" s="39" t="s">
        <v>130</v>
      </c>
      <c r="O130" s="42" t="n">
        <f aca="false">IF(J130="","",AsOfDate-J130)</f>
        <v>131</v>
      </c>
      <c r="P130" s="43" t="str">
        <f aca="false">IF(A130="","",IF(AsOfDate-I130&lt;=90,"New",IF(AND(O130&lt;=180,L130&gt;=15000),"VIP",IF(O130&lt;=180,"Regular",IF(O130&lt;=365,"At risk","Lapsed")))))</f>
        <v>Regular</v>
      </c>
      <c r="Q130" s="43" t="str">
        <f aca="false">IF(D130="","Missing",IF(COUNTIF($D$2:$D$207,D130)&gt;1,"Duplicate",IF(AND(LEN(D130)-LEN(SUBSTITUTE(D130,"@",""))=1,ISNUMBER(SEARCH(".",D130,SEARCH("@",D130))),ISERROR(SEARCH(" ",D130))),"Valid","Invalid")))</f>
        <v>Valid</v>
      </c>
      <c r="R130" s="43" t="str">
        <f aca="false">IF(E130="","Missing",IF(COUNTIF($E$2:$E$207,E130)&gt;1,"Duplicate",IF(AND(LEN(E130)=16,LEFT(E130,5)="+63 9"),"Valid","Check")))</f>
        <v>Valid</v>
      </c>
      <c r="S130" s="43" t="str">
        <f aca="false">IF(AND(Q130="Valid",R130="Valid",N130&lt;&gt;""),"Complete","Needs follow-up")</f>
        <v>Complete</v>
      </c>
      <c r="T130" s="44" t="s">
        <v>773</v>
      </c>
    </row>
    <row r="131" customFormat="false" ht="18.75" hidden="false" customHeight="true" outlineLevel="0" collapsed="false">
      <c r="A131" s="38" t="s">
        <v>774</v>
      </c>
      <c r="B131" s="39" t="s">
        <v>444</v>
      </c>
      <c r="C131" s="39" t="s">
        <v>167</v>
      </c>
      <c r="D131" s="39" t="s">
        <v>775</v>
      </c>
      <c r="E131" s="39" t="s">
        <v>776</v>
      </c>
      <c r="F131" s="39" t="s">
        <v>257</v>
      </c>
      <c r="G131" s="39" t="s">
        <v>81</v>
      </c>
      <c r="H131" s="39" t="s">
        <v>129</v>
      </c>
      <c r="I131" s="40" t="n">
        <v>45626</v>
      </c>
      <c r="J131" s="40" t="n">
        <v>46217</v>
      </c>
      <c r="K131" s="33" t="n">
        <v>29</v>
      </c>
      <c r="L131" s="34" t="n">
        <v>36600</v>
      </c>
      <c r="M131" s="41" t="n">
        <f aca="false">IFERROR(L131/K131,0)</f>
        <v>1262.06896551724</v>
      </c>
      <c r="N131" s="39" t="s">
        <v>151</v>
      </c>
      <c r="O131" s="42" t="n">
        <f aca="false">IF(J131="","",AsOfDate-J131)</f>
        <v>78</v>
      </c>
      <c r="P131" s="43" t="str">
        <f aca="false">IF(A131="","",IF(AsOfDate-I131&lt;=90,"New",IF(AND(O131&lt;=180,L131&gt;=15000),"VIP",IF(O131&lt;=180,"Regular",IF(O131&lt;=365,"At risk","Lapsed")))))</f>
        <v>VIP</v>
      </c>
      <c r="Q131" s="43" t="str">
        <f aca="false">IF(D131="","Missing",IF(COUNTIF($D$2:$D$207,D131)&gt;1,"Duplicate",IF(AND(LEN(D131)-LEN(SUBSTITUTE(D131,"@",""))=1,ISNUMBER(SEARCH(".",D131,SEARCH("@",D131))),ISERROR(SEARCH(" ",D131))),"Valid","Invalid")))</f>
        <v>Valid</v>
      </c>
      <c r="R131" s="43" t="str">
        <f aca="false">IF(E131="","Missing",IF(COUNTIF($E$2:$E$207,E131)&gt;1,"Duplicate",IF(AND(LEN(E131)=16,LEFT(E131,5)="+63 9"),"Valid","Check")))</f>
        <v>Valid</v>
      </c>
      <c r="S131" s="43" t="str">
        <f aca="false">IF(AND(Q131="Valid",R131="Valid",N131&lt;&gt;""),"Complete","Needs follow-up")</f>
        <v>Complete</v>
      </c>
      <c r="T131" s="44" t="s">
        <v>777</v>
      </c>
    </row>
    <row r="132" customFormat="false" ht="18.75" hidden="false" customHeight="true" outlineLevel="0" collapsed="false">
      <c r="A132" s="38" t="s">
        <v>778</v>
      </c>
      <c r="B132" s="39" t="s">
        <v>779</v>
      </c>
      <c r="C132" s="39" t="s">
        <v>533</v>
      </c>
      <c r="D132" s="39" t="s">
        <v>780</v>
      </c>
      <c r="E132" s="39" t="s">
        <v>781</v>
      </c>
      <c r="F132" s="39" t="s">
        <v>128</v>
      </c>
      <c r="G132" s="39" t="s">
        <v>79</v>
      </c>
      <c r="H132" s="39" t="s">
        <v>129</v>
      </c>
      <c r="I132" s="40" t="n">
        <v>45636</v>
      </c>
      <c r="J132" s="40" t="n">
        <v>46056</v>
      </c>
      <c r="K132" s="33" t="n">
        <v>2</v>
      </c>
      <c r="L132" s="34" t="n">
        <v>1770</v>
      </c>
      <c r="M132" s="41" t="n">
        <f aca="false">IFERROR(L132/K132,0)</f>
        <v>885</v>
      </c>
      <c r="N132" s="39" t="s">
        <v>130</v>
      </c>
      <c r="O132" s="42" t="n">
        <f aca="false">IF(J132="","",AsOfDate-J132)</f>
        <v>239</v>
      </c>
      <c r="P132" s="43" t="str">
        <f aca="false">IF(A132="","",IF(AsOfDate-I132&lt;=90,"New",IF(AND(O132&lt;=180,L132&gt;=15000),"VIP",IF(O132&lt;=180,"Regular",IF(O132&lt;=365,"At risk","Lapsed")))))</f>
        <v>At risk</v>
      </c>
      <c r="Q132" s="43" t="str">
        <f aca="false">IF(D132="","Missing",IF(COUNTIF($D$2:$D$207,D132)&gt;1,"Duplicate",IF(AND(LEN(D132)-LEN(SUBSTITUTE(D132,"@",""))=1,ISNUMBER(SEARCH(".",D132,SEARCH("@",D132))),ISERROR(SEARCH(" ",D132))),"Valid","Invalid")))</f>
        <v>Valid</v>
      </c>
      <c r="R132" s="43" t="str">
        <f aca="false">IF(E132="","Missing",IF(COUNTIF($E$2:$E$207,E132)&gt;1,"Duplicate",IF(AND(LEN(E132)=16,LEFT(E132,5)="+63 9"),"Valid","Check")))</f>
        <v>Valid</v>
      </c>
      <c r="S132" s="43" t="str">
        <f aca="false">IF(AND(Q132="Valid",R132="Valid",N132&lt;&gt;""),"Complete","Needs follow-up")</f>
        <v>Complete</v>
      </c>
      <c r="T132" s="44" t="s">
        <v>782</v>
      </c>
    </row>
    <row r="133" customFormat="false" ht="18.75" hidden="false" customHeight="true" outlineLevel="0" collapsed="false">
      <c r="A133" s="38" t="s">
        <v>783</v>
      </c>
      <c r="B133" s="39" t="s">
        <v>779</v>
      </c>
      <c r="C133" s="39" t="s">
        <v>309</v>
      </c>
      <c r="D133" s="39" t="s">
        <v>784</v>
      </c>
      <c r="E133" s="39" t="s">
        <v>785</v>
      </c>
      <c r="F133" s="39" t="s">
        <v>128</v>
      </c>
      <c r="G133" s="39" t="s">
        <v>79</v>
      </c>
      <c r="H133" s="39" t="s">
        <v>121</v>
      </c>
      <c r="I133" s="40" t="n">
        <v>45647</v>
      </c>
      <c r="J133" s="40" t="n">
        <v>46245</v>
      </c>
      <c r="K133" s="33" t="n">
        <v>33</v>
      </c>
      <c r="L133" s="34" t="n">
        <v>36960</v>
      </c>
      <c r="M133" s="41" t="n">
        <f aca="false">IFERROR(L133/K133,0)</f>
        <v>1120</v>
      </c>
      <c r="N133" s="39" t="s">
        <v>130</v>
      </c>
      <c r="O133" s="42" t="n">
        <f aca="false">IF(J133="","",AsOfDate-J133)</f>
        <v>50</v>
      </c>
      <c r="P133" s="43" t="str">
        <f aca="false">IF(A133="","",IF(AsOfDate-I133&lt;=90,"New",IF(AND(O133&lt;=180,L133&gt;=15000),"VIP",IF(O133&lt;=180,"Regular",IF(O133&lt;=365,"At risk","Lapsed")))))</f>
        <v>VIP</v>
      </c>
      <c r="Q133" s="43" t="str">
        <f aca="false">IF(D133="","Missing",IF(COUNTIF($D$2:$D$207,D133)&gt;1,"Duplicate",IF(AND(LEN(D133)-LEN(SUBSTITUTE(D133,"@",""))=1,ISNUMBER(SEARCH(".",D133,SEARCH("@",D133))),ISERROR(SEARCH(" ",D133))),"Valid","Invalid")))</f>
        <v>Valid</v>
      </c>
      <c r="R133" s="43" t="str">
        <f aca="false">IF(E133="","Missing",IF(COUNTIF($E$2:$E$207,E133)&gt;1,"Duplicate",IF(AND(LEN(E133)=16,LEFT(E133,5)="+63 9"),"Valid","Check")))</f>
        <v>Valid</v>
      </c>
      <c r="S133" s="43" t="str">
        <f aca="false">IF(AND(Q133="Valid",R133="Valid",N133&lt;&gt;""),"Complete","Needs follow-up")</f>
        <v>Complete</v>
      </c>
      <c r="T133" s="44" t="s">
        <v>786</v>
      </c>
    </row>
    <row r="134" customFormat="false" ht="18.75" hidden="false" customHeight="true" outlineLevel="0" collapsed="false">
      <c r="A134" s="38" t="s">
        <v>787</v>
      </c>
      <c r="B134" s="39" t="s">
        <v>333</v>
      </c>
      <c r="C134" s="39" t="s">
        <v>576</v>
      </c>
      <c r="D134" s="39" t="s">
        <v>788</v>
      </c>
      <c r="E134" s="39" t="s">
        <v>789</v>
      </c>
      <c r="F134" s="39" t="s">
        <v>150</v>
      </c>
      <c r="G134" s="39" t="s">
        <v>80</v>
      </c>
      <c r="H134" s="39" t="s">
        <v>129</v>
      </c>
      <c r="I134" s="40" t="n">
        <v>45651</v>
      </c>
      <c r="J134" s="40" t="n">
        <v>46136</v>
      </c>
      <c r="K134" s="33" t="n">
        <v>3</v>
      </c>
      <c r="L134" s="34" t="n">
        <v>2340</v>
      </c>
      <c r="M134" s="41" t="n">
        <f aca="false">IFERROR(L134/K134,0)</f>
        <v>780</v>
      </c>
      <c r="N134" s="39" t="s">
        <v>130</v>
      </c>
      <c r="O134" s="42" t="n">
        <f aca="false">IF(J134="","",AsOfDate-J134)</f>
        <v>159</v>
      </c>
      <c r="P134" s="43" t="str">
        <f aca="false">IF(A134="","",IF(AsOfDate-I134&lt;=90,"New",IF(AND(O134&lt;=180,L134&gt;=15000),"VIP",IF(O134&lt;=180,"Regular",IF(O134&lt;=365,"At risk","Lapsed")))))</f>
        <v>Regular</v>
      </c>
      <c r="Q134" s="43" t="str">
        <f aca="false">IF(D134="","Missing",IF(COUNTIF($D$2:$D$207,D134)&gt;1,"Duplicate",IF(AND(LEN(D134)-LEN(SUBSTITUTE(D134,"@",""))=1,ISNUMBER(SEARCH(".",D134,SEARCH("@",D134))),ISERROR(SEARCH(" ",D134))),"Valid","Invalid")))</f>
        <v>Valid</v>
      </c>
      <c r="R134" s="43" t="str">
        <f aca="false">IF(E134="","Missing",IF(COUNTIF($E$2:$E$207,E134)&gt;1,"Duplicate",IF(AND(LEN(E134)=16,LEFT(E134,5)="+63 9"),"Valid","Check")))</f>
        <v>Valid</v>
      </c>
      <c r="S134" s="43" t="str">
        <f aca="false">IF(AND(Q134="Valid",R134="Valid",N134&lt;&gt;""),"Complete","Needs follow-up")</f>
        <v>Complete</v>
      </c>
      <c r="T134" s="44" t="s">
        <v>790</v>
      </c>
    </row>
    <row r="135" customFormat="false" ht="18.75" hidden="false" customHeight="true" outlineLevel="0" collapsed="false">
      <c r="A135" s="38" t="s">
        <v>791</v>
      </c>
      <c r="B135" s="39" t="s">
        <v>315</v>
      </c>
      <c r="C135" s="39" t="s">
        <v>161</v>
      </c>
      <c r="D135" s="39" t="s">
        <v>792</v>
      </c>
      <c r="E135" s="39" t="s">
        <v>793</v>
      </c>
      <c r="F135" s="39" t="s">
        <v>150</v>
      </c>
      <c r="G135" s="39" t="s">
        <v>80</v>
      </c>
      <c r="H135" s="39" t="s">
        <v>312</v>
      </c>
      <c r="I135" s="40" t="n">
        <v>45656</v>
      </c>
      <c r="J135" s="40" t="n">
        <v>46045</v>
      </c>
      <c r="K135" s="33" t="n">
        <v>3</v>
      </c>
      <c r="L135" s="34" t="n">
        <v>4310</v>
      </c>
      <c r="M135" s="41" t="n">
        <f aca="false">IFERROR(L135/K135,0)</f>
        <v>1436.66666666667</v>
      </c>
      <c r="N135" s="39" t="s">
        <v>151</v>
      </c>
      <c r="O135" s="42" t="n">
        <f aca="false">IF(J135="","",AsOfDate-J135)</f>
        <v>250</v>
      </c>
      <c r="P135" s="43" t="str">
        <f aca="false">IF(A135="","",IF(AsOfDate-I135&lt;=90,"New",IF(AND(O135&lt;=180,L135&gt;=15000),"VIP",IF(O135&lt;=180,"Regular",IF(O135&lt;=365,"At risk","Lapsed")))))</f>
        <v>At risk</v>
      </c>
      <c r="Q135" s="43" t="str">
        <f aca="false">IF(D135="","Missing",IF(COUNTIF($D$2:$D$207,D135)&gt;1,"Duplicate",IF(AND(LEN(D135)-LEN(SUBSTITUTE(D135,"@",""))=1,ISNUMBER(SEARCH(".",D135,SEARCH("@",D135))),ISERROR(SEARCH(" ",D135))),"Valid","Invalid")))</f>
        <v>Valid</v>
      </c>
      <c r="R135" s="43" t="str">
        <f aca="false">IF(E135="","Missing",IF(COUNTIF($E$2:$E$207,E135)&gt;1,"Duplicate",IF(AND(LEN(E135)=16,LEFT(E135,5)="+63 9"),"Valid","Check")))</f>
        <v>Valid</v>
      </c>
      <c r="S135" s="43" t="str">
        <f aca="false">IF(AND(Q135="Valid",R135="Valid",N135&lt;&gt;""),"Complete","Needs follow-up")</f>
        <v>Complete</v>
      </c>
      <c r="T135" s="44" t="s">
        <v>794</v>
      </c>
    </row>
    <row r="136" customFormat="false" ht="18.75" hidden="false" customHeight="true" outlineLevel="0" collapsed="false">
      <c r="A136" s="38" t="s">
        <v>795</v>
      </c>
      <c r="B136" s="39" t="s">
        <v>260</v>
      </c>
      <c r="C136" s="39" t="s">
        <v>173</v>
      </c>
      <c r="D136" s="39"/>
      <c r="E136" s="39" t="s">
        <v>796</v>
      </c>
      <c r="F136" s="39" t="s">
        <v>163</v>
      </c>
      <c r="G136" s="39" t="s">
        <v>79</v>
      </c>
      <c r="H136" s="39" t="s">
        <v>164</v>
      </c>
      <c r="I136" s="40" t="n">
        <v>45661</v>
      </c>
      <c r="J136" s="40" t="n">
        <v>46263</v>
      </c>
      <c r="K136" s="33" t="n">
        <v>14</v>
      </c>
      <c r="L136" s="34" t="n">
        <v>16970</v>
      </c>
      <c r="M136" s="41" t="n">
        <f aca="false">IFERROR(L136/K136,0)</f>
        <v>1212.14285714286</v>
      </c>
      <c r="N136" s="39" t="s">
        <v>151</v>
      </c>
      <c r="O136" s="42" t="n">
        <f aca="false">IF(J136="","",AsOfDate-J136)</f>
        <v>32</v>
      </c>
      <c r="P136" s="43" t="str">
        <f aca="false">IF(A136="","",IF(AsOfDate-I136&lt;=90,"New",IF(AND(O136&lt;=180,L136&gt;=15000),"VIP",IF(O136&lt;=180,"Regular",IF(O136&lt;=365,"At risk","Lapsed")))))</f>
        <v>VIP</v>
      </c>
      <c r="Q136" s="43" t="str">
        <f aca="false">IF(D136="","Missing",IF(COUNTIF($D$2:$D$207,D136)&gt;1,"Duplicate",IF(AND(LEN(D136)-LEN(SUBSTITUTE(D136,"@",""))=1,ISNUMBER(SEARCH(".",D136,SEARCH("@",D136))),ISERROR(SEARCH(" ",D136))),"Valid","Invalid")))</f>
        <v>Missing</v>
      </c>
      <c r="R136" s="43" t="str">
        <f aca="false">IF(E136="","Missing",IF(COUNTIF($E$2:$E$207,E136)&gt;1,"Duplicate",IF(AND(LEN(E136)=16,LEFT(E136,5)="+63 9"),"Valid","Check")))</f>
        <v>Valid</v>
      </c>
      <c r="S136" s="43" t="str">
        <f aca="false">IF(AND(Q136="Valid",R136="Valid",N136&lt;&gt;""),"Complete","Needs follow-up")</f>
        <v>Needs follow-up</v>
      </c>
      <c r="T136" s="44" t="s">
        <v>797</v>
      </c>
    </row>
    <row r="137" customFormat="false" ht="18.75" hidden="false" customHeight="true" outlineLevel="0" collapsed="false">
      <c r="A137" s="38" t="s">
        <v>798</v>
      </c>
      <c r="B137" s="39" t="s">
        <v>799</v>
      </c>
      <c r="C137" s="39" t="s">
        <v>481</v>
      </c>
      <c r="D137" s="39" t="s">
        <v>800</v>
      </c>
      <c r="E137" s="39" t="s">
        <v>801</v>
      </c>
      <c r="F137" s="39" t="s">
        <v>120</v>
      </c>
      <c r="G137" s="39" t="s">
        <v>80</v>
      </c>
      <c r="H137" s="39" t="s">
        <v>129</v>
      </c>
      <c r="I137" s="40" t="n">
        <v>45661</v>
      </c>
      <c r="J137" s="40" t="n">
        <v>45970</v>
      </c>
      <c r="K137" s="33" t="n">
        <v>9</v>
      </c>
      <c r="L137" s="34" t="n">
        <v>6650</v>
      </c>
      <c r="M137" s="41" t="n">
        <f aca="false">IFERROR(L137/K137,0)</f>
        <v>738.888888888889</v>
      </c>
      <c r="N137" s="39" t="s">
        <v>151</v>
      </c>
      <c r="O137" s="42" t="n">
        <f aca="false">IF(J137="","",AsOfDate-J137)</f>
        <v>325</v>
      </c>
      <c r="P137" s="43" t="str">
        <f aca="false">IF(A137="","",IF(AsOfDate-I137&lt;=90,"New",IF(AND(O137&lt;=180,L137&gt;=15000),"VIP",IF(O137&lt;=180,"Regular",IF(O137&lt;=365,"At risk","Lapsed")))))</f>
        <v>At risk</v>
      </c>
      <c r="Q137" s="43" t="str">
        <f aca="false">IF(D137="","Missing",IF(COUNTIF($D$2:$D$207,D137)&gt;1,"Duplicate",IF(AND(LEN(D137)-LEN(SUBSTITUTE(D137,"@",""))=1,ISNUMBER(SEARCH(".",D137,SEARCH("@",D137))),ISERROR(SEARCH(" ",D137))),"Valid","Invalid")))</f>
        <v>Valid</v>
      </c>
      <c r="R137" s="43" t="str">
        <f aca="false">IF(E137="","Missing",IF(COUNTIF($E$2:$E$207,E137)&gt;1,"Duplicate",IF(AND(LEN(E137)=16,LEFT(E137,5)="+63 9"),"Valid","Check")))</f>
        <v>Valid</v>
      </c>
      <c r="S137" s="43" t="str">
        <f aca="false">IF(AND(Q137="Valid",R137="Valid",N137&lt;&gt;""),"Complete","Needs follow-up")</f>
        <v>Complete</v>
      </c>
      <c r="T137" s="44" t="s">
        <v>802</v>
      </c>
    </row>
    <row r="138" customFormat="false" ht="18.75" hidden="false" customHeight="true" outlineLevel="0" collapsed="false">
      <c r="A138" s="38" t="s">
        <v>803</v>
      </c>
      <c r="B138" s="39" t="s">
        <v>303</v>
      </c>
      <c r="C138" s="39" t="s">
        <v>155</v>
      </c>
      <c r="D138" s="39" t="s">
        <v>804</v>
      </c>
      <c r="E138" s="39" t="s">
        <v>805</v>
      </c>
      <c r="F138" s="39" t="s">
        <v>137</v>
      </c>
      <c r="G138" s="39" t="s">
        <v>83</v>
      </c>
      <c r="H138" s="39" t="s">
        <v>189</v>
      </c>
      <c r="I138" s="40" t="n">
        <v>45665</v>
      </c>
      <c r="J138" s="40" t="n">
        <v>45980</v>
      </c>
      <c r="K138" s="33" t="n">
        <v>8</v>
      </c>
      <c r="L138" s="34" t="n">
        <v>13180</v>
      </c>
      <c r="M138" s="41" t="n">
        <f aca="false">IFERROR(L138/K138,0)</f>
        <v>1647.5</v>
      </c>
      <c r="N138" s="39" t="s">
        <v>151</v>
      </c>
      <c r="O138" s="42" t="n">
        <f aca="false">IF(J138="","",AsOfDate-J138)</f>
        <v>315</v>
      </c>
      <c r="P138" s="43" t="str">
        <f aca="false">IF(A138="","",IF(AsOfDate-I138&lt;=90,"New",IF(AND(O138&lt;=180,L138&gt;=15000),"VIP",IF(O138&lt;=180,"Regular",IF(O138&lt;=365,"At risk","Lapsed")))))</f>
        <v>At risk</v>
      </c>
      <c r="Q138" s="43" t="str">
        <f aca="false">IF(D138="","Missing",IF(COUNTIF($D$2:$D$207,D138)&gt;1,"Duplicate",IF(AND(LEN(D138)-LEN(SUBSTITUTE(D138,"@",""))=1,ISNUMBER(SEARCH(".",D138,SEARCH("@",D138))),ISERROR(SEARCH(" ",D138))),"Valid","Invalid")))</f>
        <v>Valid</v>
      </c>
      <c r="R138" s="43" t="str">
        <f aca="false">IF(E138="","Missing",IF(COUNTIF($E$2:$E$207,E138)&gt;1,"Duplicate",IF(AND(LEN(E138)=16,LEFT(E138,5)="+63 9"),"Valid","Check")))</f>
        <v>Valid</v>
      </c>
      <c r="S138" s="43" t="str">
        <f aca="false">IF(AND(Q138="Valid",R138="Valid",N138&lt;&gt;""),"Complete","Needs follow-up")</f>
        <v>Complete</v>
      </c>
      <c r="T138" s="44" t="s">
        <v>806</v>
      </c>
    </row>
    <row r="139" customFormat="false" ht="18.75" hidden="false" customHeight="true" outlineLevel="0" collapsed="false">
      <c r="A139" s="38" t="s">
        <v>807</v>
      </c>
      <c r="B139" s="39" t="s">
        <v>192</v>
      </c>
      <c r="C139" s="39" t="s">
        <v>808</v>
      </c>
      <c r="D139" s="39" t="s">
        <v>809</v>
      </c>
      <c r="E139" s="39" t="s">
        <v>810</v>
      </c>
      <c r="F139" s="39" t="s">
        <v>170</v>
      </c>
      <c r="G139" s="39" t="s">
        <v>82</v>
      </c>
      <c r="H139" s="39" t="s">
        <v>182</v>
      </c>
      <c r="I139" s="40" t="n">
        <v>45669</v>
      </c>
      <c r="J139" s="40" t="n">
        <v>46278</v>
      </c>
      <c r="K139" s="33" t="n">
        <v>21</v>
      </c>
      <c r="L139" s="34" t="n">
        <v>32950</v>
      </c>
      <c r="M139" s="41" t="n">
        <f aca="false">IFERROR(L139/K139,0)</f>
        <v>1569.04761904762</v>
      </c>
      <c r="N139" s="39" t="s">
        <v>151</v>
      </c>
      <c r="O139" s="42" t="n">
        <f aca="false">IF(J139="","",AsOfDate-J139)</f>
        <v>17</v>
      </c>
      <c r="P139" s="43" t="str">
        <f aca="false">IF(A139="","",IF(AsOfDate-I139&lt;=90,"New",IF(AND(O139&lt;=180,L139&gt;=15000),"VIP",IF(O139&lt;=180,"Regular",IF(O139&lt;=365,"At risk","Lapsed")))))</f>
        <v>VIP</v>
      </c>
      <c r="Q139" s="43" t="str">
        <f aca="false">IF(D139="","Missing",IF(COUNTIF($D$2:$D$207,D139)&gt;1,"Duplicate",IF(AND(LEN(D139)-LEN(SUBSTITUTE(D139,"@",""))=1,ISNUMBER(SEARCH(".",D139,SEARCH("@",D139))),ISERROR(SEARCH(" ",D139))),"Valid","Invalid")))</f>
        <v>Valid</v>
      </c>
      <c r="R139" s="43" t="str">
        <f aca="false">IF(E139="","Missing",IF(COUNTIF($E$2:$E$207,E139)&gt;1,"Duplicate",IF(AND(LEN(E139)=16,LEFT(E139,5)="+63 9"),"Valid","Check")))</f>
        <v>Valid</v>
      </c>
      <c r="S139" s="43" t="str">
        <f aca="false">IF(AND(Q139="Valid",R139="Valid",N139&lt;&gt;""),"Complete","Needs follow-up")</f>
        <v>Complete</v>
      </c>
      <c r="T139" s="44" t="s">
        <v>811</v>
      </c>
    </row>
    <row r="140" customFormat="false" ht="18.75" hidden="false" customHeight="true" outlineLevel="0" collapsed="false">
      <c r="A140" s="38" t="s">
        <v>812</v>
      </c>
      <c r="B140" s="39" t="s">
        <v>348</v>
      </c>
      <c r="C140" s="39" t="s">
        <v>231</v>
      </c>
      <c r="D140" s="39"/>
      <c r="E140" s="39" t="s">
        <v>813</v>
      </c>
      <c r="F140" s="39" t="s">
        <v>257</v>
      </c>
      <c r="G140" s="39" t="s">
        <v>81</v>
      </c>
      <c r="H140" s="39" t="s">
        <v>164</v>
      </c>
      <c r="I140" s="40" t="n">
        <v>45675</v>
      </c>
      <c r="J140" s="40" t="n">
        <v>46186</v>
      </c>
      <c r="K140" s="33" t="n">
        <v>9</v>
      </c>
      <c r="L140" s="34" t="n">
        <v>14350</v>
      </c>
      <c r="M140" s="41" t="n">
        <f aca="false">IFERROR(L140/K140,0)</f>
        <v>1594.44444444444</v>
      </c>
      <c r="N140" s="39" t="s">
        <v>151</v>
      </c>
      <c r="O140" s="42" t="n">
        <f aca="false">IF(J140="","",AsOfDate-J140)</f>
        <v>109</v>
      </c>
      <c r="P140" s="43" t="str">
        <f aca="false">IF(A140="","",IF(AsOfDate-I140&lt;=90,"New",IF(AND(O140&lt;=180,L140&gt;=15000),"VIP",IF(O140&lt;=180,"Regular",IF(O140&lt;=365,"At risk","Lapsed")))))</f>
        <v>Regular</v>
      </c>
      <c r="Q140" s="43" t="str">
        <f aca="false">IF(D140="","Missing",IF(COUNTIF($D$2:$D$207,D140)&gt;1,"Duplicate",IF(AND(LEN(D140)-LEN(SUBSTITUTE(D140,"@",""))=1,ISNUMBER(SEARCH(".",D140,SEARCH("@",D140))),ISERROR(SEARCH(" ",D140))),"Valid","Invalid")))</f>
        <v>Missing</v>
      </c>
      <c r="R140" s="43" t="str">
        <f aca="false">IF(E140="","Missing",IF(COUNTIF($E$2:$E$207,E140)&gt;1,"Duplicate",IF(AND(LEN(E140)=16,LEFT(E140,5)="+63 9"),"Valid","Check")))</f>
        <v>Valid</v>
      </c>
      <c r="S140" s="43" t="str">
        <f aca="false">IF(AND(Q140="Valid",R140="Valid",N140&lt;&gt;""),"Complete","Needs follow-up")</f>
        <v>Needs follow-up</v>
      </c>
      <c r="T140" s="44" t="s">
        <v>814</v>
      </c>
    </row>
    <row r="141" customFormat="false" ht="18.75" hidden="false" customHeight="true" outlineLevel="0" collapsed="false">
      <c r="A141" s="38" t="s">
        <v>815</v>
      </c>
      <c r="B141" s="39" t="s">
        <v>779</v>
      </c>
      <c r="C141" s="39" t="s">
        <v>486</v>
      </c>
      <c r="D141" s="39" t="s">
        <v>816</v>
      </c>
      <c r="E141" s="39" t="s">
        <v>817</v>
      </c>
      <c r="F141" s="39" t="s">
        <v>128</v>
      </c>
      <c r="G141" s="39" t="s">
        <v>79</v>
      </c>
      <c r="H141" s="39" t="s">
        <v>129</v>
      </c>
      <c r="I141" s="40" t="n">
        <v>45686</v>
      </c>
      <c r="J141" s="40" t="n">
        <v>46007</v>
      </c>
      <c r="K141" s="33" t="n">
        <v>5</v>
      </c>
      <c r="L141" s="34" t="n">
        <v>9390</v>
      </c>
      <c r="M141" s="41" t="n">
        <f aca="false">IFERROR(L141/K141,0)</f>
        <v>1878</v>
      </c>
      <c r="N141" s="39" t="s">
        <v>151</v>
      </c>
      <c r="O141" s="42" t="n">
        <f aca="false">IF(J141="","",AsOfDate-J141)</f>
        <v>288</v>
      </c>
      <c r="P141" s="43" t="str">
        <f aca="false">IF(A141="","",IF(AsOfDate-I141&lt;=90,"New",IF(AND(O141&lt;=180,L141&gt;=15000),"VIP",IF(O141&lt;=180,"Regular",IF(O141&lt;=365,"At risk","Lapsed")))))</f>
        <v>At risk</v>
      </c>
      <c r="Q141" s="43" t="str">
        <f aca="false">IF(D141="","Missing",IF(COUNTIF($D$2:$D$207,D141)&gt;1,"Duplicate",IF(AND(LEN(D141)-LEN(SUBSTITUTE(D141,"@",""))=1,ISNUMBER(SEARCH(".",D141,SEARCH("@",D141))),ISERROR(SEARCH(" ",D141))),"Valid","Invalid")))</f>
        <v>Valid</v>
      </c>
      <c r="R141" s="43" t="str">
        <f aca="false">IF(E141="","Missing",IF(COUNTIF($E$2:$E$207,E141)&gt;1,"Duplicate",IF(AND(LEN(E141)=16,LEFT(E141,5)="+63 9"),"Valid","Check")))</f>
        <v>Valid</v>
      </c>
      <c r="S141" s="43" t="str">
        <f aca="false">IF(AND(Q141="Valid",R141="Valid",N141&lt;&gt;""),"Complete","Needs follow-up")</f>
        <v>Complete</v>
      </c>
      <c r="T141" s="44" t="s">
        <v>818</v>
      </c>
    </row>
    <row r="142" customFormat="false" ht="18.75" hidden="false" customHeight="true" outlineLevel="0" collapsed="false">
      <c r="A142" s="38" t="s">
        <v>819</v>
      </c>
      <c r="B142" s="39" t="s">
        <v>513</v>
      </c>
      <c r="C142" s="39" t="s">
        <v>395</v>
      </c>
      <c r="D142" s="39" t="s">
        <v>820</v>
      </c>
      <c r="E142" s="39" t="s">
        <v>821</v>
      </c>
      <c r="F142" s="39" t="s">
        <v>257</v>
      </c>
      <c r="G142" s="39" t="s">
        <v>81</v>
      </c>
      <c r="H142" s="39" t="s">
        <v>129</v>
      </c>
      <c r="I142" s="40" t="n">
        <v>45688</v>
      </c>
      <c r="J142" s="40" t="n">
        <v>46179</v>
      </c>
      <c r="K142" s="33" t="n">
        <v>11</v>
      </c>
      <c r="L142" s="34" t="n">
        <v>7640</v>
      </c>
      <c r="M142" s="41" t="n">
        <f aca="false">IFERROR(L142/K142,0)</f>
        <v>694.545454545455</v>
      </c>
      <c r="N142" s="39" t="s">
        <v>151</v>
      </c>
      <c r="O142" s="42" t="n">
        <f aca="false">IF(J142="","",AsOfDate-J142)</f>
        <v>116</v>
      </c>
      <c r="P142" s="43" t="str">
        <f aca="false">IF(A142="","",IF(AsOfDate-I142&lt;=90,"New",IF(AND(O142&lt;=180,L142&gt;=15000),"VIP",IF(O142&lt;=180,"Regular",IF(O142&lt;=365,"At risk","Lapsed")))))</f>
        <v>Regular</v>
      </c>
      <c r="Q142" s="43" t="str">
        <f aca="false">IF(D142="","Missing",IF(COUNTIF($D$2:$D$207,D142)&gt;1,"Duplicate",IF(AND(LEN(D142)-LEN(SUBSTITUTE(D142,"@",""))=1,ISNUMBER(SEARCH(".",D142,SEARCH("@",D142))),ISERROR(SEARCH(" ",D142))),"Valid","Invalid")))</f>
        <v>Valid</v>
      </c>
      <c r="R142" s="43" t="str">
        <f aca="false">IF(E142="","Missing",IF(COUNTIF($E$2:$E$207,E142)&gt;1,"Duplicate",IF(AND(LEN(E142)=16,LEFT(E142,5)="+63 9"),"Valid","Check")))</f>
        <v>Valid</v>
      </c>
      <c r="S142" s="43" t="str">
        <f aca="false">IF(AND(Q142="Valid",R142="Valid",N142&lt;&gt;""),"Complete","Needs follow-up")</f>
        <v>Complete</v>
      </c>
      <c r="T142" s="44" t="s">
        <v>822</v>
      </c>
    </row>
    <row r="143" customFormat="false" ht="18.75" hidden="false" customHeight="true" outlineLevel="0" collapsed="false">
      <c r="A143" s="38" t="s">
        <v>823</v>
      </c>
      <c r="B143" s="39" t="s">
        <v>444</v>
      </c>
      <c r="C143" s="39" t="s">
        <v>570</v>
      </c>
      <c r="D143" s="39" t="s">
        <v>824</v>
      </c>
      <c r="E143" s="39" t="s">
        <v>825</v>
      </c>
      <c r="F143" s="39" t="s">
        <v>239</v>
      </c>
      <c r="G143" s="39" t="s">
        <v>79</v>
      </c>
      <c r="H143" s="39" t="s">
        <v>121</v>
      </c>
      <c r="I143" s="40" t="n">
        <v>45689</v>
      </c>
      <c r="J143" s="40" t="n">
        <v>46022</v>
      </c>
      <c r="K143" s="33" t="n">
        <v>7</v>
      </c>
      <c r="L143" s="34" t="n">
        <v>5430</v>
      </c>
      <c r="M143" s="41" t="n">
        <f aca="false">IFERROR(L143/K143,0)</f>
        <v>775.714285714286</v>
      </c>
      <c r="N143" s="39" t="s">
        <v>151</v>
      </c>
      <c r="O143" s="42" t="n">
        <f aca="false">IF(J143="","",AsOfDate-J143)</f>
        <v>273</v>
      </c>
      <c r="P143" s="43" t="str">
        <f aca="false">IF(A143="","",IF(AsOfDate-I143&lt;=90,"New",IF(AND(O143&lt;=180,L143&gt;=15000),"VIP",IF(O143&lt;=180,"Regular",IF(O143&lt;=365,"At risk","Lapsed")))))</f>
        <v>At risk</v>
      </c>
      <c r="Q143" s="43" t="str">
        <f aca="false">IF(D143="","Missing",IF(COUNTIF($D$2:$D$207,D143)&gt;1,"Duplicate",IF(AND(LEN(D143)-LEN(SUBSTITUTE(D143,"@",""))=1,ISNUMBER(SEARCH(".",D143,SEARCH("@",D143))),ISERROR(SEARCH(" ",D143))),"Valid","Invalid")))</f>
        <v>Valid</v>
      </c>
      <c r="R143" s="43" t="str">
        <f aca="false">IF(E143="","Missing",IF(COUNTIF($E$2:$E$207,E143)&gt;1,"Duplicate",IF(AND(LEN(E143)=16,LEFT(E143,5)="+63 9"),"Valid","Check")))</f>
        <v>Valid</v>
      </c>
      <c r="S143" s="43" t="str">
        <f aca="false">IF(AND(Q143="Valid",R143="Valid",N143&lt;&gt;""),"Complete","Needs follow-up")</f>
        <v>Complete</v>
      </c>
      <c r="T143" s="44" t="s">
        <v>826</v>
      </c>
    </row>
    <row r="144" customFormat="false" ht="18.75" hidden="false" customHeight="true" outlineLevel="0" collapsed="false">
      <c r="A144" s="38" t="s">
        <v>827</v>
      </c>
      <c r="B144" s="39" t="s">
        <v>552</v>
      </c>
      <c r="C144" s="39" t="s">
        <v>328</v>
      </c>
      <c r="D144" s="39" t="s">
        <v>828</v>
      </c>
      <c r="E144" s="39" t="s">
        <v>829</v>
      </c>
      <c r="F144" s="39" t="s">
        <v>150</v>
      </c>
      <c r="G144" s="39" t="s">
        <v>80</v>
      </c>
      <c r="H144" s="39" t="s">
        <v>164</v>
      </c>
      <c r="I144" s="40" t="n">
        <v>45691</v>
      </c>
      <c r="J144" s="40" t="n">
        <v>46150</v>
      </c>
      <c r="K144" s="33" t="n">
        <v>7</v>
      </c>
      <c r="L144" s="34" t="n">
        <v>11190</v>
      </c>
      <c r="M144" s="41" t="n">
        <f aca="false">IFERROR(L144/K144,0)</f>
        <v>1598.57142857143</v>
      </c>
      <c r="N144" s="39" t="s">
        <v>130</v>
      </c>
      <c r="O144" s="42" t="n">
        <f aca="false">IF(J144="","",AsOfDate-J144)</f>
        <v>145</v>
      </c>
      <c r="P144" s="43" t="str">
        <f aca="false">IF(A144="","",IF(AsOfDate-I144&lt;=90,"New",IF(AND(O144&lt;=180,L144&gt;=15000),"VIP",IF(O144&lt;=180,"Regular",IF(O144&lt;=365,"At risk","Lapsed")))))</f>
        <v>Regular</v>
      </c>
      <c r="Q144" s="43" t="str">
        <f aca="false">IF(D144="","Missing",IF(COUNTIF($D$2:$D$207,D144)&gt;1,"Duplicate",IF(AND(LEN(D144)-LEN(SUBSTITUTE(D144,"@",""))=1,ISNUMBER(SEARCH(".",D144,SEARCH("@",D144))),ISERROR(SEARCH(" ",D144))),"Valid","Invalid")))</f>
        <v>Valid</v>
      </c>
      <c r="R144" s="43" t="str">
        <f aca="false">IF(E144="","Missing",IF(COUNTIF($E$2:$E$207,E144)&gt;1,"Duplicate",IF(AND(LEN(E144)=16,LEFT(E144,5)="+63 9"),"Valid","Check")))</f>
        <v>Valid</v>
      </c>
      <c r="S144" s="43" t="str">
        <f aca="false">IF(AND(Q144="Valid",R144="Valid",N144&lt;&gt;""),"Complete","Needs follow-up")</f>
        <v>Complete</v>
      </c>
      <c r="T144" s="44" t="s">
        <v>830</v>
      </c>
    </row>
    <row r="145" customFormat="false" ht="18.75" hidden="false" customHeight="true" outlineLevel="0" collapsed="false">
      <c r="A145" s="38" t="s">
        <v>831</v>
      </c>
      <c r="B145" s="39" t="s">
        <v>230</v>
      </c>
      <c r="C145" s="39" t="s">
        <v>751</v>
      </c>
      <c r="D145" s="39" t="s">
        <v>832</v>
      </c>
      <c r="E145" s="39" t="s">
        <v>833</v>
      </c>
      <c r="F145" s="39" t="s">
        <v>217</v>
      </c>
      <c r="G145" s="39" t="s">
        <v>79</v>
      </c>
      <c r="H145" s="39" t="s">
        <v>164</v>
      </c>
      <c r="I145" s="40" t="n">
        <v>45693</v>
      </c>
      <c r="J145" s="40" t="n">
        <v>46268</v>
      </c>
      <c r="K145" s="33" t="n">
        <v>8</v>
      </c>
      <c r="L145" s="34" t="n">
        <v>11020</v>
      </c>
      <c r="M145" s="41" t="n">
        <f aca="false">IFERROR(L145/K145,0)</f>
        <v>1377.5</v>
      </c>
      <c r="N145" s="39" t="s">
        <v>151</v>
      </c>
      <c r="O145" s="42" t="n">
        <f aca="false">IF(J145="","",AsOfDate-J145)</f>
        <v>27</v>
      </c>
      <c r="P145" s="43" t="str">
        <f aca="false">IF(A145="","",IF(AsOfDate-I145&lt;=90,"New",IF(AND(O145&lt;=180,L145&gt;=15000),"VIP",IF(O145&lt;=180,"Regular",IF(O145&lt;=365,"At risk","Lapsed")))))</f>
        <v>Regular</v>
      </c>
      <c r="Q145" s="43" t="str">
        <f aca="false">IF(D145="","Missing",IF(COUNTIF($D$2:$D$207,D145)&gt;1,"Duplicate",IF(AND(LEN(D145)-LEN(SUBSTITUTE(D145,"@",""))=1,ISNUMBER(SEARCH(".",D145,SEARCH("@",D145))),ISERROR(SEARCH(" ",D145))),"Valid","Invalid")))</f>
        <v>Valid</v>
      </c>
      <c r="R145" s="43" t="str">
        <f aca="false">IF(E145="","Missing",IF(COUNTIF($E$2:$E$207,E145)&gt;1,"Duplicate",IF(AND(LEN(E145)=16,LEFT(E145,5)="+63 9"),"Valid","Check")))</f>
        <v>Valid</v>
      </c>
      <c r="S145" s="43" t="str">
        <f aca="false">IF(AND(Q145="Valid",R145="Valid",N145&lt;&gt;""),"Complete","Needs follow-up")</f>
        <v>Complete</v>
      </c>
      <c r="T145" s="44" t="s">
        <v>834</v>
      </c>
    </row>
    <row r="146" customFormat="false" ht="18.75" hidden="false" customHeight="true" outlineLevel="0" collapsed="false">
      <c r="A146" s="38" t="s">
        <v>835</v>
      </c>
      <c r="B146" s="39" t="s">
        <v>770</v>
      </c>
      <c r="C146" s="39" t="s">
        <v>204</v>
      </c>
      <c r="D146" s="39" t="s">
        <v>836</v>
      </c>
      <c r="E146" s="39" t="s">
        <v>837</v>
      </c>
      <c r="F146" s="39" t="s">
        <v>163</v>
      </c>
      <c r="G146" s="39" t="s">
        <v>79</v>
      </c>
      <c r="H146" s="39" t="s">
        <v>182</v>
      </c>
      <c r="I146" s="40" t="n">
        <v>45698</v>
      </c>
      <c r="J146" s="40" t="n">
        <v>46190</v>
      </c>
      <c r="K146" s="33" t="n">
        <v>27</v>
      </c>
      <c r="L146" s="34" t="n">
        <v>40280</v>
      </c>
      <c r="M146" s="41" t="n">
        <f aca="false">IFERROR(L146/K146,0)</f>
        <v>1491.85185185185</v>
      </c>
      <c r="N146" s="39" t="s">
        <v>151</v>
      </c>
      <c r="O146" s="42" t="n">
        <f aca="false">IF(J146="","",AsOfDate-J146)</f>
        <v>105</v>
      </c>
      <c r="P146" s="43" t="str">
        <f aca="false">IF(A146="","",IF(AsOfDate-I146&lt;=90,"New",IF(AND(O146&lt;=180,L146&gt;=15000),"VIP",IF(O146&lt;=180,"Regular",IF(O146&lt;=365,"At risk","Lapsed")))))</f>
        <v>VIP</v>
      </c>
      <c r="Q146" s="43" t="str">
        <f aca="false">IF(D146="","Missing",IF(COUNTIF($D$2:$D$207,D146)&gt;1,"Duplicate",IF(AND(LEN(D146)-LEN(SUBSTITUTE(D146,"@",""))=1,ISNUMBER(SEARCH(".",D146,SEARCH("@",D146))),ISERROR(SEARCH(" ",D146))),"Valid","Invalid")))</f>
        <v>Valid</v>
      </c>
      <c r="R146" s="43" t="str">
        <f aca="false">IF(E146="","Missing",IF(COUNTIF($E$2:$E$207,E146)&gt;1,"Duplicate",IF(AND(LEN(E146)=16,LEFT(E146,5)="+63 9"),"Valid","Check")))</f>
        <v>Valid</v>
      </c>
      <c r="S146" s="43" t="str">
        <f aca="false">IF(AND(Q146="Valid",R146="Valid",N146&lt;&gt;""),"Complete","Needs follow-up")</f>
        <v>Complete</v>
      </c>
      <c r="T146" s="44" t="s">
        <v>838</v>
      </c>
    </row>
    <row r="147" customFormat="false" ht="18.75" hidden="false" customHeight="true" outlineLevel="0" collapsed="false">
      <c r="A147" s="38" t="s">
        <v>839</v>
      </c>
      <c r="B147" s="39" t="s">
        <v>799</v>
      </c>
      <c r="C147" s="39" t="s">
        <v>254</v>
      </c>
      <c r="D147" s="39"/>
      <c r="E147" s="39" t="s">
        <v>840</v>
      </c>
      <c r="F147" s="39" t="s">
        <v>239</v>
      </c>
      <c r="G147" s="39" t="s">
        <v>79</v>
      </c>
      <c r="H147" s="39" t="s">
        <v>121</v>
      </c>
      <c r="I147" s="40" t="n">
        <v>45707</v>
      </c>
      <c r="J147" s="40" t="n">
        <v>46257</v>
      </c>
      <c r="K147" s="33" t="n">
        <v>19</v>
      </c>
      <c r="L147" s="34" t="n">
        <v>23830</v>
      </c>
      <c r="M147" s="41" t="n">
        <f aca="false">IFERROR(L147/K147,0)</f>
        <v>1254.21052631579</v>
      </c>
      <c r="N147" s="39" t="s">
        <v>151</v>
      </c>
      <c r="O147" s="42" t="n">
        <f aca="false">IF(J147="","",AsOfDate-J147)</f>
        <v>38</v>
      </c>
      <c r="P147" s="43" t="str">
        <f aca="false">IF(A147="","",IF(AsOfDate-I147&lt;=90,"New",IF(AND(O147&lt;=180,L147&gt;=15000),"VIP",IF(O147&lt;=180,"Regular",IF(O147&lt;=365,"At risk","Lapsed")))))</f>
        <v>VIP</v>
      </c>
      <c r="Q147" s="43" t="str">
        <f aca="false">IF(D147="","Missing",IF(COUNTIF($D$2:$D$207,D147)&gt;1,"Duplicate",IF(AND(LEN(D147)-LEN(SUBSTITUTE(D147,"@",""))=1,ISNUMBER(SEARCH(".",D147,SEARCH("@",D147))),ISERROR(SEARCH(" ",D147))),"Valid","Invalid")))</f>
        <v>Missing</v>
      </c>
      <c r="R147" s="43" t="str">
        <f aca="false">IF(E147="","Missing",IF(COUNTIF($E$2:$E$207,E147)&gt;1,"Duplicate",IF(AND(LEN(E147)=16,LEFT(E147,5)="+63 9"),"Valid","Check")))</f>
        <v>Valid</v>
      </c>
      <c r="S147" s="43" t="str">
        <f aca="false">IF(AND(Q147="Valid",R147="Valid",N147&lt;&gt;""),"Complete","Needs follow-up")</f>
        <v>Needs follow-up</v>
      </c>
      <c r="T147" s="44" t="s">
        <v>841</v>
      </c>
    </row>
    <row r="148" customFormat="false" ht="18.75" hidden="false" customHeight="true" outlineLevel="0" collapsed="false">
      <c r="A148" s="38" t="s">
        <v>842</v>
      </c>
      <c r="B148" s="39" t="s">
        <v>770</v>
      </c>
      <c r="C148" s="39" t="s">
        <v>273</v>
      </c>
      <c r="D148" s="39" t="s">
        <v>843</v>
      </c>
      <c r="E148" s="39" t="s">
        <v>844</v>
      </c>
      <c r="F148" s="39" t="s">
        <v>217</v>
      </c>
      <c r="G148" s="39" t="s">
        <v>79</v>
      </c>
      <c r="H148" s="39" t="s">
        <v>285</v>
      </c>
      <c r="I148" s="40" t="n">
        <v>45707</v>
      </c>
      <c r="J148" s="40" t="n">
        <v>46010</v>
      </c>
      <c r="K148" s="33" t="n">
        <v>8</v>
      </c>
      <c r="L148" s="34" t="n">
        <v>8780</v>
      </c>
      <c r="M148" s="41" t="n">
        <f aca="false">IFERROR(L148/K148,0)</f>
        <v>1097.5</v>
      </c>
      <c r="N148" s="39" t="s">
        <v>130</v>
      </c>
      <c r="O148" s="42" t="n">
        <f aca="false">IF(J148="","",AsOfDate-J148)</f>
        <v>285</v>
      </c>
      <c r="P148" s="43" t="str">
        <f aca="false">IF(A148="","",IF(AsOfDate-I148&lt;=90,"New",IF(AND(O148&lt;=180,L148&gt;=15000),"VIP",IF(O148&lt;=180,"Regular",IF(O148&lt;=365,"At risk","Lapsed")))))</f>
        <v>At risk</v>
      </c>
      <c r="Q148" s="43" t="str">
        <f aca="false">IF(D148="","Missing",IF(COUNTIF($D$2:$D$207,D148)&gt;1,"Duplicate",IF(AND(LEN(D148)-LEN(SUBSTITUTE(D148,"@",""))=1,ISNUMBER(SEARCH(".",D148,SEARCH("@",D148))),ISERROR(SEARCH(" ",D148))),"Valid","Invalid")))</f>
        <v>Valid</v>
      </c>
      <c r="R148" s="43" t="str">
        <f aca="false">IF(E148="","Missing",IF(COUNTIF($E$2:$E$207,E148)&gt;1,"Duplicate",IF(AND(LEN(E148)=16,LEFT(E148,5)="+63 9"),"Valid","Check")))</f>
        <v>Valid</v>
      </c>
      <c r="S148" s="43" t="str">
        <f aca="false">IF(AND(Q148="Valid",R148="Valid",N148&lt;&gt;""),"Complete","Needs follow-up")</f>
        <v>Complete</v>
      </c>
      <c r="T148" s="44" t="s">
        <v>845</v>
      </c>
    </row>
    <row r="149" customFormat="false" ht="18.75" hidden="false" customHeight="true" outlineLevel="0" collapsed="false">
      <c r="A149" s="38" t="s">
        <v>846</v>
      </c>
      <c r="B149" s="39" t="s">
        <v>209</v>
      </c>
      <c r="C149" s="39" t="s">
        <v>193</v>
      </c>
      <c r="D149" s="39" t="s">
        <v>847</v>
      </c>
      <c r="E149" s="39" t="s">
        <v>848</v>
      </c>
      <c r="F149" s="39" t="s">
        <v>150</v>
      </c>
      <c r="G149" s="39" t="s">
        <v>80</v>
      </c>
      <c r="H149" s="39" t="s">
        <v>129</v>
      </c>
      <c r="I149" s="40" t="n">
        <v>45709</v>
      </c>
      <c r="J149" s="40" t="n">
        <v>45984</v>
      </c>
      <c r="K149" s="33" t="n">
        <v>3</v>
      </c>
      <c r="L149" s="34" t="n">
        <v>2570</v>
      </c>
      <c r="M149" s="41" t="n">
        <f aca="false">IFERROR(L149/K149,0)</f>
        <v>856.666666666667</v>
      </c>
      <c r="N149" s="39" t="s">
        <v>151</v>
      </c>
      <c r="O149" s="42" t="n">
        <f aca="false">IF(J149="","",AsOfDate-J149)</f>
        <v>311</v>
      </c>
      <c r="P149" s="43" t="str">
        <f aca="false">IF(A149="","",IF(AsOfDate-I149&lt;=90,"New",IF(AND(O149&lt;=180,L149&gt;=15000),"VIP",IF(O149&lt;=180,"Regular",IF(O149&lt;=365,"At risk","Lapsed")))))</f>
        <v>At risk</v>
      </c>
      <c r="Q149" s="43" t="str">
        <f aca="false">IF(D149="","Missing",IF(COUNTIF($D$2:$D$207,D149)&gt;1,"Duplicate",IF(AND(LEN(D149)-LEN(SUBSTITUTE(D149,"@",""))=1,ISNUMBER(SEARCH(".",D149,SEARCH("@",D149))),ISERROR(SEARCH(" ",D149))),"Valid","Invalid")))</f>
        <v>Valid</v>
      </c>
      <c r="R149" s="43" t="str">
        <f aca="false">IF(E149="","Missing",IF(COUNTIF($E$2:$E$207,E149)&gt;1,"Duplicate",IF(AND(LEN(E149)=16,LEFT(E149,5)="+63 9"),"Valid","Check")))</f>
        <v>Valid</v>
      </c>
      <c r="S149" s="43" t="str">
        <f aca="false">IF(AND(Q149="Valid",R149="Valid",N149&lt;&gt;""),"Complete","Needs follow-up")</f>
        <v>Complete</v>
      </c>
      <c r="T149" s="44" t="s">
        <v>849</v>
      </c>
    </row>
    <row r="150" customFormat="false" ht="18.75" hidden="false" customHeight="true" outlineLevel="0" collapsed="false">
      <c r="A150" s="38" t="s">
        <v>850</v>
      </c>
      <c r="B150" s="39" t="s">
        <v>565</v>
      </c>
      <c r="C150" s="39" t="s">
        <v>851</v>
      </c>
      <c r="D150" s="39" t="s">
        <v>852</v>
      </c>
      <c r="E150" s="39" t="s">
        <v>853</v>
      </c>
      <c r="F150" s="39" t="s">
        <v>163</v>
      </c>
      <c r="G150" s="39" t="s">
        <v>79</v>
      </c>
      <c r="H150" s="39" t="s">
        <v>129</v>
      </c>
      <c r="I150" s="40" t="n">
        <v>45710</v>
      </c>
      <c r="J150" s="40" t="n">
        <v>45952</v>
      </c>
      <c r="K150" s="33" t="n">
        <v>5</v>
      </c>
      <c r="L150" s="34" t="n">
        <v>6440</v>
      </c>
      <c r="M150" s="41" t="n">
        <f aca="false">IFERROR(L150/K150,0)</f>
        <v>1288</v>
      </c>
      <c r="N150" s="39" t="s">
        <v>130</v>
      </c>
      <c r="O150" s="42" t="n">
        <f aca="false">IF(J150="","",AsOfDate-J150)</f>
        <v>343</v>
      </c>
      <c r="P150" s="43" t="str">
        <f aca="false">IF(A150="","",IF(AsOfDate-I150&lt;=90,"New",IF(AND(O150&lt;=180,L150&gt;=15000),"VIP",IF(O150&lt;=180,"Regular",IF(O150&lt;=365,"At risk","Lapsed")))))</f>
        <v>At risk</v>
      </c>
      <c r="Q150" s="43" t="str">
        <f aca="false">IF(D150="","Missing",IF(COUNTIF($D$2:$D$207,D150)&gt;1,"Duplicate",IF(AND(LEN(D150)-LEN(SUBSTITUTE(D150,"@",""))=1,ISNUMBER(SEARCH(".",D150,SEARCH("@",D150))),ISERROR(SEARCH(" ",D150))),"Valid","Invalid")))</f>
        <v>Valid</v>
      </c>
      <c r="R150" s="43" t="str">
        <f aca="false">IF(E150="","Missing",IF(COUNTIF($E$2:$E$207,E150)&gt;1,"Duplicate",IF(AND(LEN(E150)=16,LEFT(E150,5)="+63 9"),"Valid","Check")))</f>
        <v>Valid</v>
      </c>
      <c r="S150" s="43" t="str">
        <f aca="false">IF(AND(Q150="Valid",R150="Valid",N150&lt;&gt;""),"Complete","Needs follow-up")</f>
        <v>Complete</v>
      </c>
      <c r="T150" s="44" t="s">
        <v>854</v>
      </c>
    </row>
    <row r="151" customFormat="false" ht="18.75" hidden="false" customHeight="true" outlineLevel="0" collapsed="false">
      <c r="A151" s="38" t="s">
        <v>855</v>
      </c>
      <c r="B151" s="39" t="s">
        <v>192</v>
      </c>
      <c r="C151" s="39" t="s">
        <v>856</v>
      </c>
      <c r="D151" s="39" t="s">
        <v>857</v>
      </c>
      <c r="E151" s="39" t="s">
        <v>858</v>
      </c>
      <c r="F151" s="39" t="s">
        <v>120</v>
      </c>
      <c r="G151" s="39" t="s">
        <v>80</v>
      </c>
      <c r="H151" s="39" t="s">
        <v>164</v>
      </c>
      <c r="I151" s="40" t="n">
        <v>45714</v>
      </c>
      <c r="J151" s="40" t="n">
        <v>46201</v>
      </c>
      <c r="K151" s="33" t="n">
        <v>9</v>
      </c>
      <c r="L151" s="34" t="n">
        <v>8030</v>
      </c>
      <c r="M151" s="41" t="n">
        <f aca="false">IFERROR(L151/K151,0)</f>
        <v>892.222222222222</v>
      </c>
      <c r="N151" s="39" t="s">
        <v>151</v>
      </c>
      <c r="O151" s="42" t="n">
        <f aca="false">IF(J151="","",AsOfDate-J151)</f>
        <v>94</v>
      </c>
      <c r="P151" s="43" t="str">
        <f aca="false">IF(A151="","",IF(AsOfDate-I151&lt;=90,"New",IF(AND(O151&lt;=180,L151&gt;=15000),"VIP",IF(O151&lt;=180,"Regular",IF(O151&lt;=365,"At risk","Lapsed")))))</f>
        <v>Regular</v>
      </c>
      <c r="Q151" s="43" t="str">
        <f aca="false">IF(D151="","Missing",IF(COUNTIF($D$2:$D$207,D151)&gt;1,"Duplicate",IF(AND(LEN(D151)-LEN(SUBSTITUTE(D151,"@",""))=1,ISNUMBER(SEARCH(".",D151,SEARCH("@",D151))),ISERROR(SEARCH(" ",D151))),"Valid","Invalid")))</f>
        <v>Valid</v>
      </c>
      <c r="R151" s="43" t="str">
        <f aca="false">IF(E151="","Missing",IF(COUNTIF($E$2:$E$207,E151)&gt;1,"Duplicate",IF(AND(LEN(E151)=16,LEFT(E151,5)="+63 9"),"Valid","Check")))</f>
        <v>Valid</v>
      </c>
      <c r="S151" s="43" t="str">
        <f aca="false">IF(AND(Q151="Valid",R151="Valid",N151&lt;&gt;""),"Complete","Needs follow-up")</f>
        <v>Complete</v>
      </c>
      <c r="T151" s="44" t="s">
        <v>859</v>
      </c>
    </row>
    <row r="152" customFormat="false" ht="18.75" hidden="false" customHeight="true" outlineLevel="0" collapsed="false">
      <c r="A152" s="38" t="s">
        <v>860</v>
      </c>
      <c r="B152" s="39" t="s">
        <v>406</v>
      </c>
      <c r="C152" s="39" t="s">
        <v>349</v>
      </c>
      <c r="D152" s="39" t="s">
        <v>861</v>
      </c>
      <c r="E152" s="39" t="s">
        <v>862</v>
      </c>
      <c r="F152" s="39" t="s">
        <v>120</v>
      </c>
      <c r="G152" s="39" t="s">
        <v>80</v>
      </c>
      <c r="H152" s="39" t="s">
        <v>129</v>
      </c>
      <c r="I152" s="40" t="n">
        <v>45742</v>
      </c>
      <c r="J152" s="40" t="n">
        <v>46269</v>
      </c>
      <c r="K152" s="33" t="n">
        <v>10</v>
      </c>
      <c r="L152" s="34" t="n">
        <v>6360</v>
      </c>
      <c r="M152" s="41" t="n">
        <f aca="false">IFERROR(L152/K152,0)</f>
        <v>636</v>
      </c>
      <c r="N152" s="39" t="s">
        <v>151</v>
      </c>
      <c r="O152" s="42" t="n">
        <f aca="false">IF(J152="","",AsOfDate-J152)</f>
        <v>26</v>
      </c>
      <c r="P152" s="43" t="str">
        <f aca="false">IF(A152="","",IF(AsOfDate-I152&lt;=90,"New",IF(AND(O152&lt;=180,L152&gt;=15000),"VIP",IF(O152&lt;=180,"Regular",IF(O152&lt;=365,"At risk","Lapsed")))))</f>
        <v>Regular</v>
      </c>
      <c r="Q152" s="43" t="str">
        <f aca="false">IF(D152="","Missing",IF(COUNTIF($D$2:$D$207,D152)&gt;1,"Duplicate",IF(AND(LEN(D152)-LEN(SUBSTITUTE(D152,"@",""))=1,ISNUMBER(SEARCH(".",D152,SEARCH("@",D152))),ISERROR(SEARCH(" ",D152))),"Valid","Invalid")))</f>
        <v>Valid</v>
      </c>
      <c r="R152" s="43" t="str">
        <f aca="false">IF(E152="","Missing",IF(COUNTIF($E$2:$E$207,E152)&gt;1,"Duplicate",IF(AND(LEN(E152)=16,LEFT(E152,5)="+63 9"),"Valid","Check")))</f>
        <v>Valid</v>
      </c>
      <c r="S152" s="43" t="str">
        <f aca="false">IF(AND(Q152="Valid",R152="Valid",N152&lt;&gt;""),"Complete","Needs follow-up")</f>
        <v>Complete</v>
      </c>
      <c r="T152" s="44" t="s">
        <v>863</v>
      </c>
    </row>
    <row r="153" customFormat="false" ht="18.75" hidden="false" customHeight="true" outlineLevel="0" collapsed="false">
      <c r="A153" s="38" t="s">
        <v>864</v>
      </c>
      <c r="B153" s="39" t="s">
        <v>420</v>
      </c>
      <c r="C153" s="39" t="s">
        <v>173</v>
      </c>
      <c r="D153" s="39" t="s">
        <v>865</v>
      </c>
      <c r="E153" s="39" t="s">
        <v>866</v>
      </c>
      <c r="F153" s="39" t="s">
        <v>217</v>
      </c>
      <c r="G153" s="39" t="s">
        <v>79</v>
      </c>
      <c r="H153" s="39" t="s">
        <v>121</v>
      </c>
      <c r="I153" s="40" t="n">
        <v>45744</v>
      </c>
      <c r="J153" s="40" t="n">
        <v>45948</v>
      </c>
      <c r="K153" s="33" t="n">
        <v>4</v>
      </c>
      <c r="L153" s="34" t="n">
        <v>6380</v>
      </c>
      <c r="M153" s="41" t="n">
        <f aca="false">IFERROR(L153/K153,0)</f>
        <v>1595</v>
      </c>
      <c r="N153" s="39" t="s">
        <v>130</v>
      </c>
      <c r="O153" s="42" t="n">
        <f aca="false">IF(J153="","",AsOfDate-J153)</f>
        <v>347</v>
      </c>
      <c r="P153" s="43" t="str">
        <f aca="false">IF(A153="","",IF(AsOfDate-I153&lt;=90,"New",IF(AND(O153&lt;=180,L153&gt;=15000),"VIP",IF(O153&lt;=180,"Regular",IF(O153&lt;=365,"At risk","Lapsed")))))</f>
        <v>At risk</v>
      </c>
      <c r="Q153" s="43" t="str">
        <f aca="false">IF(D153="","Missing",IF(COUNTIF($D$2:$D$207,D153)&gt;1,"Duplicate",IF(AND(LEN(D153)-LEN(SUBSTITUTE(D153,"@",""))=1,ISNUMBER(SEARCH(".",D153,SEARCH("@",D153))),ISERROR(SEARCH(" ",D153))),"Valid","Invalid")))</f>
        <v>Valid</v>
      </c>
      <c r="R153" s="43" t="str">
        <f aca="false">IF(E153="","Missing",IF(COUNTIF($E$2:$E$207,E153)&gt;1,"Duplicate",IF(AND(LEN(E153)=16,LEFT(E153,5)="+63 9"),"Valid","Check")))</f>
        <v>Valid</v>
      </c>
      <c r="S153" s="43" t="str">
        <f aca="false">IF(AND(Q153="Valid",R153="Valid",N153&lt;&gt;""),"Complete","Needs follow-up")</f>
        <v>Complete</v>
      </c>
      <c r="T153" s="44" t="s">
        <v>867</v>
      </c>
    </row>
    <row r="154" customFormat="false" ht="18.75" hidden="false" customHeight="true" outlineLevel="0" collapsed="false">
      <c r="A154" s="38" t="s">
        <v>868</v>
      </c>
      <c r="B154" s="39" t="s">
        <v>722</v>
      </c>
      <c r="C154" s="39" t="s">
        <v>869</v>
      </c>
      <c r="D154" s="39" t="s">
        <v>870</v>
      </c>
      <c r="E154" s="39" t="s">
        <v>871</v>
      </c>
      <c r="F154" s="39" t="s">
        <v>128</v>
      </c>
      <c r="G154" s="39" t="s">
        <v>79</v>
      </c>
      <c r="H154" s="39" t="s">
        <v>129</v>
      </c>
      <c r="I154" s="40" t="n">
        <v>45763</v>
      </c>
      <c r="J154" s="40" t="n">
        <v>46240</v>
      </c>
      <c r="K154" s="33" t="n">
        <v>9</v>
      </c>
      <c r="L154" s="34" t="n">
        <v>13280</v>
      </c>
      <c r="M154" s="41" t="n">
        <f aca="false">IFERROR(L154/K154,0)</f>
        <v>1475.55555555556</v>
      </c>
      <c r="N154" s="39" t="s">
        <v>151</v>
      </c>
      <c r="O154" s="42" t="n">
        <f aca="false">IF(J154="","",AsOfDate-J154)</f>
        <v>55</v>
      </c>
      <c r="P154" s="43" t="str">
        <f aca="false">IF(A154="","",IF(AsOfDate-I154&lt;=90,"New",IF(AND(O154&lt;=180,L154&gt;=15000),"VIP",IF(O154&lt;=180,"Regular",IF(O154&lt;=365,"At risk","Lapsed")))))</f>
        <v>Regular</v>
      </c>
      <c r="Q154" s="43" t="str">
        <f aca="false">IF(D154="","Missing",IF(COUNTIF($D$2:$D$207,D154)&gt;1,"Duplicate",IF(AND(LEN(D154)-LEN(SUBSTITUTE(D154,"@",""))=1,ISNUMBER(SEARCH(".",D154,SEARCH("@",D154))),ISERROR(SEARCH(" ",D154))),"Valid","Invalid")))</f>
        <v>Valid</v>
      </c>
      <c r="R154" s="43" t="str">
        <f aca="false">IF(E154="","Missing",IF(COUNTIF($E$2:$E$207,E154)&gt;1,"Duplicate",IF(AND(LEN(E154)=16,LEFT(E154,5)="+63 9"),"Valid","Check")))</f>
        <v>Valid</v>
      </c>
      <c r="S154" s="43" t="str">
        <f aca="false">IF(AND(Q154="Valid",R154="Valid",N154&lt;&gt;""),"Complete","Needs follow-up")</f>
        <v>Complete</v>
      </c>
      <c r="T154" s="44" t="s">
        <v>872</v>
      </c>
    </row>
    <row r="155" customFormat="false" ht="18.75" hidden="false" customHeight="true" outlineLevel="0" collapsed="false">
      <c r="A155" s="38" t="s">
        <v>873</v>
      </c>
      <c r="B155" s="39" t="s">
        <v>327</v>
      </c>
      <c r="C155" s="39" t="s">
        <v>634</v>
      </c>
      <c r="D155" s="39" t="s">
        <v>874</v>
      </c>
      <c r="E155" s="39" t="s">
        <v>875</v>
      </c>
      <c r="F155" s="39" t="s">
        <v>128</v>
      </c>
      <c r="G155" s="39" t="s">
        <v>79</v>
      </c>
      <c r="H155" s="39" t="s">
        <v>129</v>
      </c>
      <c r="I155" s="40" t="n">
        <v>45772</v>
      </c>
      <c r="J155" s="40" t="n">
        <v>46016</v>
      </c>
      <c r="K155" s="33" t="n">
        <v>5</v>
      </c>
      <c r="L155" s="34" t="n">
        <v>6380</v>
      </c>
      <c r="M155" s="41" t="n">
        <f aca="false">IFERROR(L155/K155,0)</f>
        <v>1276</v>
      </c>
      <c r="N155" s="39" t="s">
        <v>151</v>
      </c>
      <c r="O155" s="42" t="n">
        <f aca="false">IF(J155="","",AsOfDate-J155)</f>
        <v>279</v>
      </c>
      <c r="P155" s="43" t="str">
        <f aca="false">IF(A155="","",IF(AsOfDate-I155&lt;=90,"New",IF(AND(O155&lt;=180,L155&gt;=15000),"VIP",IF(O155&lt;=180,"Regular",IF(O155&lt;=365,"At risk","Lapsed")))))</f>
        <v>At risk</v>
      </c>
      <c r="Q155" s="43" t="str">
        <f aca="false">IF(D155="","Missing",IF(COUNTIF($D$2:$D$207,D155)&gt;1,"Duplicate",IF(AND(LEN(D155)-LEN(SUBSTITUTE(D155,"@",""))=1,ISNUMBER(SEARCH(".",D155,SEARCH("@",D155))),ISERROR(SEARCH(" ",D155))),"Valid","Invalid")))</f>
        <v>Valid</v>
      </c>
      <c r="R155" s="43" t="str">
        <f aca="false">IF(E155="","Missing",IF(COUNTIF($E$2:$E$207,E155)&gt;1,"Duplicate",IF(AND(LEN(E155)=16,LEFT(E155,5)="+63 9"),"Valid","Check")))</f>
        <v>Valid</v>
      </c>
      <c r="S155" s="43" t="str">
        <f aca="false">IF(AND(Q155="Valid",R155="Valid",N155&lt;&gt;""),"Complete","Needs follow-up")</f>
        <v>Complete</v>
      </c>
      <c r="T155" s="44" t="s">
        <v>876</v>
      </c>
    </row>
    <row r="156" customFormat="false" ht="18.75" hidden="false" customHeight="true" outlineLevel="0" collapsed="false">
      <c r="A156" s="38" t="s">
        <v>877</v>
      </c>
      <c r="B156" s="39" t="s">
        <v>513</v>
      </c>
      <c r="C156" s="39" t="s">
        <v>878</v>
      </c>
      <c r="D156" s="39" t="s">
        <v>879</v>
      </c>
      <c r="E156" s="39" t="s">
        <v>880</v>
      </c>
      <c r="F156" s="39" t="s">
        <v>257</v>
      </c>
      <c r="G156" s="39" t="s">
        <v>81</v>
      </c>
      <c r="H156" s="39" t="s">
        <v>129</v>
      </c>
      <c r="I156" s="40" t="n">
        <v>45781</v>
      </c>
      <c r="J156" s="40" t="n">
        <v>45982</v>
      </c>
      <c r="K156" s="33" t="n">
        <v>3</v>
      </c>
      <c r="L156" s="34" t="n">
        <v>4280</v>
      </c>
      <c r="M156" s="41" t="n">
        <f aca="false">IFERROR(L156/K156,0)</f>
        <v>1426.66666666667</v>
      </c>
      <c r="N156" s="39" t="s">
        <v>130</v>
      </c>
      <c r="O156" s="42" t="n">
        <f aca="false">IF(J156="","",AsOfDate-J156)</f>
        <v>313</v>
      </c>
      <c r="P156" s="43" t="str">
        <f aca="false">IF(A156="","",IF(AsOfDate-I156&lt;=90,"New",IF(AND(O156&lt;=180,L156&gt;=15000),"VIP",IF(O156&lt;=180,"Regular",IF(O156&lt;=365,"At risk","Lapsed")))))</f>
        <v>At risk</v>
      </c>
      <c r="Q156" s="43" t="str">
        <f aca="false">IF(D156="","Missing",IF(COUNTIF($D$2:$D$207,D156)&gt;1,"Duplicate",IF(AND(LEN(D156)-LEN(SUBSTITUTE(D156,"@",""))=1,ISNUMBER(SEARCH(".",D156,SEARCH("@",D156))),ISERROR(SEARCH(" ",D156))),"Valid","Invalid")))</f>
        <v>Valid</v>
      </c>
      <c r="R156" s="43" t="str">
        <f aca="false">IF(E156="","Missing",IF(COUNTIF($E$2:$E$207,E156)&gt;1,"Duplicate",IF(AND(LEN(E156)=16,LEFT(E156,5)="+63 9"),"Valid","Check")))</f>
        <v>Valid</v>
      </c>
      <c r="S156" s="43" t="str">
        <f aca="false">IF(AND(Q156="Valid",R156="Valid",N156&lt;&gt;""),"Complete","Needs follow-up")</f>
        <v>Complete</v>
      </c>
      <c r="T156" s="44" t="s">
        <v>881</v>
      </c>
    </row>
    <row r="157" customFormat="false" ht="18.75" hidden="false" customHeight="true" outlineLevel="0" collapsed="false">
      <c r="A157" s="38" t="s">
        <v>882</v>
      </c>
      <c r="B157" s="39" t="s">
        <v>513</v>
      </c>
      <c r="C157" s="39" t="s">
        <v>570</v>
      </c>
      <c r="D157" s="39" t="s">
        <v>883</v>
      </c>
      <c r="E157" s="39" t="s">
        <v>884</v>
      </c>
      <c r="F157" s="39" t="s">
        <v>150</v>
      </c>
      <c r="G157" s="39" t="s">
        <v>80</v>
      </c>
      <c r="H157" s="39" t="s">
        <v>129</v>
      </c>
      <c r="I157" s="40" t="n">
        <v>45791</v>
      </c>
      <c r="J157" s="40" t="n">
        <v>46236</v>
      </c>
      <c r="K157" s="33" t="n">
        <v>9</v>
      </c>
      <c r="L157" s="34" t="n">
        <v>9780</v>
      </c>
      <c r="M157" s="41" t="n">
        <f aca="false">IFERROR(L157/K157,0)</f>
        <v>1086.66666666667</v>
      </c>
      <c r="N157" s="39" t="s">
        <v>151</v>
      </c>
      <c r="O157" s="42" t="n">
        <f aca="false">IF(J157="","",AsOfDate-J157)</f>
        <v>59</v>
      </c>
      <c r="P157" s="43" t="str">
        <f aca="false">IF(A157="","",IF(AsOfDate-I157&lt;=90,"New",IF(AND(O157&lt;=180,L157&gt;=15000),"VIP",IF(O157&lt;=180,"Regular",IF(O157&lt;=365,"At risk","Lapsed")))))</f>
        <v>Regular</v>
      </c>
      <c r="Q157" s="43" t="str">
        <f aca="false">IF(D157="","Missing",IF(COUNTIF($D$2:$D$207,D157)&gt;1,"Duplicate",IF(AND(LEN(D157)-LEN(SUBSTITUTE(D157,"@",""))=1,ISNUMBER(SEARCH(".",D157,SEARCH("@",D157))),ISERROR(SEARCH(" ",D157))),"Valid","Invalid")))</f>
        <v>Valid</v>
      </c>
      <c r="R157" s="43" t="str">
        <f aca="false">IF(E157="","Missing",IF(COUNTIF($E$2:$E$207,E157)&gt;1,"Duplicate",IF(AND(LEN(E157)=16,LEFT(E157,5)="+63 9"),"Valid","Check")))</f>
        <v>Valid</v>
      </c>
      <c r="S157" s="43" t="str">
        <f aca="false">IF(AND(Q157="Valid",R157="Valid",N157&lt;&gt;""),"Complete","Needs follow-up")</f>
        <v>Complete</v>
      </c>
      <c r="T157" s="44" t="s">
        <v>885</v>
      </c>
    </row>
    <row r="158" customFormat="false" ht="18.75" hidden="false" customHeight="true" outlineLevel="0" collapsed="false">
      <c r="A158" s="38" t="s">
        <v>886</v>
      </c>
      <c r="B158" s="39" t="s">
        <v>887</v>
      </c>
      <c r="C158" s="39" t="s">
        <v>349</v>
      </c>
      <c r="D158" s="39"/>
      <c r="E158" s="39" t="s">
        <v>888</v>
      </c>
      <c r="F158" s="39" t="s">
        <v>128</v>
      </c>
      <c r="G158" s="39" t="s">
        <v>79</v>
      </c>
      <c r="H158" s="39" t="s">
        <v>164</v>
      </c>
      <c r="I158" s="40" t="n">
        <v>45807</v>
      </c>
      <c r="J158" s="40" t="n">
        <v>46175</v>
      </c>
      <c r="K158" s="33" t="n">
        <v>8</v>
      </c>
      <c r="L158" s="34" t="n">
        <v>13550</v>
      </c>
      <c r="M158" s="41" t="n">
        <f aca="false">IFERROR(L158/K158,0)</f>
        <v>1693.75</v>
      </c>
      <c r="N158" s="39" t="s">
        <v>151</v>
      </c>
      <c r="O158" s="42" t="n">
        <f aca="false">IF(J158="","",AsOfDate-J158)</f>
        <v>120</v>
      </c>
      <c r="P158" s="43" t="str">
        <f aca="false">IF(A158="","",IF(AsOfDate-I158&lt;=90,"New",IF(AND(O158&lt;=180,L158&gt;=15000),"VIP",IF(O158&lt;=180,"Regular",IF(O158&lt;=365,"At risk","Lapsed")))))</f>
        <v>Regular</v>
      </c>
      <c r="Q158" s="43" t="str">
        <f aca="false">IF(D158="","Missing",IF(COUNTIF($D$2:$D$207,D158)&gt;1,"Duplicate",IF(AND(LEN(D158)-LEN(SUBSTITUTE(D158,"@",""))=1,ISNUMBER(SEARCH(".",D158,SEARCH("@",D158))),ISERROR(SEARCH(" ",D158))),"Valid","Invalid")))</f>
        <v>Missing</v>
      </c>
      <c r="R158" s="43" t="str">
        <f aca="false">IF(E158="","Missing",IF(COUNTIF($E$2:$E$207,E158)&gt;1,"Duplicate",IF(AND(LEN(E158)=16,LEFT(E158,5)="+63 9"),"Valid","Check")))</f>
        <v>Valid</v>
      </c>
      <c r="S158" s="43" t="str">
        <f aca="false">IF(AND(Q158="Valid",R158="Valid",N158&lt;&gt;""),"Complete","Needs follow-up")</f>
        <v>Needs follow-up</v>
      </c>
      <c r="T158" s="44" t="s">
        <v>889</v>
      </c>
    </row>
    <row r="159" customFormat="false" ht="18.75" hidden="false" customHeight="true" outlineLevel="0" collapsed="false">
      <c r="A159" s="38" t="s">
        <v>890</v>
      </c>
      <c r="B159" s="39" t="s">
        <v>253</v>
      </c>
      <c r="C159" s="39" t="s">
        <v>426</v>
      </c>
      <c r="D159" s="39" t="s">
        <v>891</v>
      </c>
      <c r="E159" s="39" t="s">
        <v>892</v>
      </c>
      <c r="F159" s="39" t="s">
        <v>324</v>
      </c>
      <c r="G159" s="39" t="s">
        <v>80</v>
      </c>
      <c r="H159" s="39" t="s">
        <v>129</v>
      </c>
      <c r="I159" s="40" t="n">
        <v>45814</v>
      </c>
      <c r="J159" s="40" t="n">
        <v>46201</v>
      </c>
      <c r="K159" s="33" t="n">
        <v>6</v>
      </c>
      <c r="L159" s="34" t="n">
        <v>8300</v>
      </c>
      <c r="M159" s="41" t="n">
        <f aca="false">IFERROR(L159/K159,0)</f>
        <v>1383.33333333333</v>
      </c>
      <c r="N159" s="39" t="s">
        <v>151</v>
      </c>
      <c r="O159" s="42" t="n">
        <f aca="false">IF(J159="","",AsOfDate-J159)</f>
        <v>94</v>
      </c>
      <c r="P159" s="43" t="str">
        <f aca="false">IF(A159="","",IF(AsOfDate-I159&lt;=90,"New",IF(AND(O159&lt;=180,L159&gt;=15000),"VIP",IF(O159&lt;=180,"Regular",IF(O159&lt;=365,"At risk","Lapsed")))))</f>
        <v>Regular</v>
      </c>
      <c r="Q159" s="43" t="str">
        <f aca="false">IF(D159="","Missing",IF(COUNTIF($D$2:$D$207,D159)&gt;1,"Duplicate",IF(AND(LEN(D159)-LEN(SUBSTITUTE(D159,"@",""))=1,ISNUMBER(SEARCH(".",D159,SEARCH("@",D159))),ISERROR(SEARCH(" ",D159))),"Valid","Invalid")))</f>
        <v>Valid</v>
      </c>
      <c r="R159" s="43" t="str">
        <f aca="false">IF(E159="","Missing",IF(COUNTIF($E$2:$E$207,E159)&gt;1,"Duplicate",IF(AND(LEN(E159)=16,LEFT(E159,5)="+63 9"),"Valid","Check")))</f>
        <v>Valid</v>
      </c>
      <c r="S159" s="43" t="str">
        <f aca="false">IF(AND(Q159="Valid",R159="Valid",N159&lt;&gt;""),"Complete","Needs follow-up")</f>
        <v>Complete</v>
      </c>
      <c r="T159" s="44" t="s">
        <v>893</v>
      </c>
    </row>
    <row r="160" customFormat="false" ht="18.75" hidden="false" customHeight="true" outlineLevel="0" collapsed="false">
      <c r="A160" s="38" t="s">
        <v>894</v>
      </c>
      <c r="B160" s="39" t="s">
        <v>895</v>
      </c>
      <c r="C160" s="39" t="s">
        <v>288</v>
      </c>
      <c r="D160" s="39" t="s">
        <v>896</v>
      </c>
      <c r="E160" s="39" t="s">
        <v>897</v>
      </c>
      <c r="F160" s="39" t="s">
        <v>128</v>
      </c>
      <c r="G160" s="39" t="s">
        <v>79</v>
      </c>
      <c r="H160" s="39" t="s">
        <v>164</v>
      </c>
      <c r="I160" s="40" t="n">
        <v>45828</v>
      </c>
      <c r="J160" s="40" t="n">
        <v>46277</v>
      </c>
      <c r="K160" s="33" t="n">
        <v>4</v>
      </c>
      <c r="L160" s="34" t="n">
        <v>6100</v>
      </c>
      <c r="M160" s="41" t="n">
        <f aca="false">IFERROR(L160/K160,0)</f>
        <v>1525</v>
      </c>
      <c r="N160" s="39" t="s">
        <v>151</v>
      </c>
      <c r="O160" s="42" t="n">
        <f aca="false">IF(J160="","",AsOfDate-J160)</f>
        <v>18</v>
      </c>
      <c r="P160" s="43" t="str">
        <f aca="false">IF(A160="","",IF(AsOfDate-I160&lt;=90,"New",IF(AND(O160&lt;=180,L160&gt;=15000),"VIP",IF(O160&lt;=180,"Regular",IF(O160&lt;=365,"At risk","Lapsed")))))</f>
        <v>Regular</v>
      </c>
      <c r="Q160" s="43" t="str">
        <f aca="false">IF(D160="","Missing",IF(COUNTIF($D$2:$D$207,D160)&gt;1,"Duplicate",IF(AND(LEN(D160)-LEN(SUBSTITUTE(D160,"@",""))=1,ISNUMBER(SEARCH(".",D160,SEARCH("@",D160))),ISERROR(SEARCH(" ",D160))),"Valid","Invalid")))</f>
        <v>Valid</v>
      </c>
      <c r="R160" s="43" t="str">
        <f aca="false">IF(E160="","Missing",IF(COUNTIF($E$2:$E$207,E160)&gt;1,"Duplicate",IF(AND(LEN(E160)=16,LEFT(E160,5)="+63 9"),"Valid","Check")))</f>
        <v>Valid</v>
      </c>
      <c r="S160" s="43" t="str">
        <f aca="false">IF(AND(Q160="Valid",R160="Valid",N160&lt;&gt;""),"Complete","Needs follow-up")</f>
        <v>Complete</v>
      </c>
      <c r="T160" s="44" t="s">
        <v>898</v>
      </c>
    </row>
    <row r="161" customFormat="false" ht="18.75" hidden="false" customHeight="true" outlineLevel="0" collapsed="false">
      <c r="A161" s="38" t="s">
        <v>899</v>
      </c>
      <c r="B161" s="39" t="s">
        <v>575</v>
      </c>
      <c r="C161" s="39" t="s">
        <v>395</v>
      </c>
      <c r="D161" s="39" t="s">
        <v>900</v>
      </c>
      <c r="E161" s="39" t="s">
        <v>901</v>
      </c>
      <c r="F161" s="39" t="s">
        <v>163</v>
      </c>
      <c r="G161" s="39" t="s">
        <v>79</v>
      </c>
      <c r="H161" s="39" t="s">
        <v>285</v>
      </c>
      <c r="I161" s="40" t="n">
        <v>45848</v>
      </c>
      <c r="J161" s="40" t="n">
        <v>46205</v>
      </c>
      <c r="K161" s="33" t="n">
        <v>13</v>
      </c>
      <c r="L161" s="34" t="n">
        <v>12040</v>
      </c>
      <c r="M161" s="41" t="n">
        <f aca="false">IFERROR(L161/K161,0)</f>
        <v>926.153846153846</v>
      </c>
      <c r="N161" s="39" t="s">
        <v>151</v>
      </c>
      <c r="O161" s="42" t="n">
        <f aca="false">IF(J161="","",AsOfDate-J161)</f>
        <v>90</v>
      </c>
      <c r="P161" s="43" t="str">
        <f aca="false">IF(A161="","",IF(AsOfDate-I161&lt;=90,"New",IF(AND(O161&lt;=180,L161&gt;=15000),"VIP",IF(O161&lt;=180,"Regular",IF(O161&lt;=365,"At risk","Lapsed")))))</f>
        <v>Regular</v>
      </c>
      <c r="Q161" s="43" t="str">
        <f aca="false">IF(D161="","Missing",IF(COUNTIF($D$2:$D$207,D161)&gt;1,"Duplicate",IF(AND(LEN(D161)-LEN(SUBSTITUTE(D161,"@",""))=1,ISNUMBER(SEARCH(".",D161,SEARCH("@",D161))),ISERROR(SEARCH(" ",D161))),"Valid","Invalid")))</f>
        <v>Valid</v>
      </c>
      <c r="R161" s="43" t="str">
        <f aca="false">IF(E161="","Missing",IF(COUNTIF($E$2:$E$207,E161)&gt;1,"Duplicate",IF(AND(LEN(E161)=16,LEFT(E161,5)="+63 9"),"Valid","Check")))</f>
        <v>Valid</v>
      </c>
      <c r="S161" s="43" t="str">
        <f aca="false">IF(AND(Q161="Valid",R161="Valid",N161&lt;&gt;""),"Complete","Needs follow-up")</f>
        <v>Complete</v>
      </c>
      <c r="T161" s="44" t="s">
        <v>902</v>
      </c>
    </row>
    <row r="162" customFormat="false" ht="18.75" hidden="false" customHeight="true" outlineLevel="0" collapsed="false">
      <c r="A162" s="38" t="s">
        <v>903</v>
      </c>
      <c r="B162" s="39" t="s">
        <v>904</v>
      </c>
      <c r="C162" s="39" t="s">
        <v>538</v>
      </c>
      <c r="D162" s="39" t="s">
        <v>905</v>
      </c>
      <c r="E162" s="39" t="s">
        <v>906</v>
      </c>
      <c r="F162" s="39" t="s">
        <v>217</v>
      </c>
      <c r="G162" s="39" t="s">
        <v>79</v>
      </c>
      <c r="H162" s="39" t="s">
        <v>129</v>
      </c>
      <c r="I162" s="40" t="n">
        <v>45858</v>
      </c>
      <c r="J162" s="40" t="n">
        <v>46225</v>
      </c>
      <c r="K162" s="33" t="n">
        <v>4</v>
      </c>
      <c r="L162" s="34" t="n">
        <v>5030</v>
      </c>
      <c r="M162" s="41" t="n">
        <f aca="false">IFERROR(L162/K162,0)</f>
        <v>1257.5</v>
      </c>
      <c r="N162" s="39" t="s">
        <v>151</v>
      </c>
      <c r="O162" s="42" t="n">
        <f aca="false">IF(J162="","",AsOfDate-J162)</f>
        <v>70</v>
      </c>
      <c r="P162" s="43" t="str">
        <f aca="false">IF(A162="","",IF(AsOfDate-I162&lt;=90,"New",IF(AND(O162&lt;=180,L162&gt;=15000),"VIP",IF(O162&lt;=180,"Regular",IF(O162&lt;=365,"At risk","Lapsed")))))</f>
        <v>Regular</v>
      </c>
      <c r="Q162" s="43" t="str">
        <f aca="false">IF(D162="","Missing",IF(COUNTIF($D$2:$D$207,D162)&gt;1,"Duplicate",IF(AND(LEN(D162)-LEN(SUBSTITUTE(D162,"@",""))=1,ISNUMBER(SEARCH(".",D162,SEARCH("@",D162))),ISERROR(SEARCH(" ",D162))),"Valid","Invalid")))</f>
        <v>Valid</v>
      </c>
      <c r="R162" s="43" t="str">
        <f aca="false">IF(E162="","Missing",IF(COUNTIF($E$2:$E$207,E162)&gt;1,"Duplicate",IF(AND(LEN(E162)=16,LEFT(E162,5)="+63 9"),"Valid","Check")))</f>
        <v>Valid</v>
      </c>
      <c r="S162" s="43" t="str">
        <f aca="false">IF(AND(Q162="Valid",R162="Valid",N162&lt;&gt;""),"Complete","Needs follow-up")</f>
        <v>Complete</v>
      </c>
      <c r="T162" s="44" t="s">
        <v>907</v>
      </c>
    </row>
    <row r="163" customFormat="false" ht="18.75" hidden="false" customHeight="true" outlineLevel="0" collapsed="false">
      <c r="A163" s="38" t="s">
        <v>908</v>
      </c>
      <c r="B163" s="39" t="s">
        <v>611</v>
      </c>
      <c r="C163" s="39" t="s">
        <v>236</v>
      </c>
      <c r="D163" s="39" t="s">
        <v>909</v>
      </c>
      <c r="E163" s="39" t="s">
        <v>910</v>
      </c>
      <c r="F163" s="39" t="s">
        <v>150</v>
      </c>
      <c r="G163" s="39" t="s">
        <v>80</v>
      </c>
      <c r="H163" s="39" t="s">
        <v>129</v>
      </c>
      <c r="I163" s="40" t="n">
        <v>45859</v>
      </c>
      <c r="J163" s="40" t="n">
        <v>46130</v>
      </c>
      <c r="K163" s="33" t="n">
        <v>6</v>
      </c>
      <c r="L163" s="34" t="n">
        <v>8520</v>
      </c>
      <c r="M163" s="41" t="n">
        <f aca="false">IFERROR(L163/K163,0)</f>
        <v>1420</v>
      </c>
      <c r="N163" s="39" t="s">
        <v>151</v>
      </c>
      <c r="O163" s="42" t="n">
        <f aca="false">IF(J163="","",AsOfDate-J163)</f>
        <v>165</v>
      </c>
      <c r="P163" s="43" t="str">
        <f aca="false">IF(A163="","",IF(AsOfDate-I163&lt;=90,"New",IF(AND(O163&lt;=180,L163&gt;=15000),"VIP",IF(O163&lt;=180,"Regular",IF(O163&lt;=365,"At risk","Lapsed")))))</f>
        <v>Regular</v>
      </c>
      <c r="Q163" s="43" t="str">
        <f aca="false">IF(D163="","Missing",IF(COUNTIF($D$2:$D$207,D163)&gt;1,"Duplicate",IF(AND(LEN(D163)-LEN(SUBSTITUTE(D163,"@",""))=1,ISNUMBER(SEARCH(".",D163,SEARCH("@",D163))),ISERROR(SEARCH(" ",D163))),"Valid","Invalid")))</f>
        <v>Valid</v>
      </c>
      <c r="R163" s="43" t="str">
        <f aca="false">IF(E163="","Missing",IF(COUNTIF($E$2:$E$207,E163)&gt;1,"Duplicate",IF(AND(LEN(E163)=16,LEFT(E163,5)="+63 9"),"Valid","Check")))</f>
        <v>Valid</v>
      </c>
      <c r="S163" s="43" t="str">
        <f aca="false">IF(AND(Q163="Valid",R163="Valid",N163&lt;&gt;""),"Complete","Needs follow-up")</f>
        <v>Complete</v>
      </c>
      <c r="T163" s="44" t="s">
        <v>911</v>
      </c>
    </row>
    <row r="164" customFormat="false" ht="18.75" hidden="false" customHeight="true" outlineLevel="0" collapsed="false">
      <c r="A164" s="38" t="s">
        <v>912</v>
      </c>
      <c r="B164" s="39" t="s">
        <v>214</v>
      </c>
      <c r="C164" s="39" t="s">
        <v>576</v>
      </c>
      <c r="D164" s="39" t="s">
        <v>913</v>
      </c>
      <c r="E164" s="39"/>
      <c r="F164" s="39" t="s">
        <v>170</v>
      </c>
      <c r="G164" s="39" t="s">
        <v>82</v>
      </c>
      <c r="H164" s="39" t="s">
        <v>164</v>
      </c>
      <c r="I164" s="40" t="n">
        <v>45861</v>
      </c>
      <c r="J164" s="40" t="n">
        <v>46226</v>
      </c>
      <c r="K164" s="33" t="n">
        <v>4</v>
      </c>
      <c r="L164" s="34" t="n">
        <v>3380</v>
      </c>
      <c r="M164" s="41" t="n">
        <f aca="false">IFERROR(L164/K164,0)</f>
        <v>845</v>
      </c>
      <c r="N164" s="39" t="s">
        <v>151</v>
      </c>
      <c r="O164" s="42" t="n">
        <f aca="false">IF(J164="","",AsOfDate-J164)</f>
        <v>69</v>
      </c>
      <c r="P164" s="43" t="str">
        <f aca="false">IF(A164="","",IF(AsOfDate-I164&lt;=90,"New",IF(AND(O164&lt;=180,L164&gt;=15000),"VIP",IF(O164&lt;=180,"Regular",IF(O164&lt;=365,"At risk","Lapsed")))))</f>
        <v>Regular</v>
      </c>
      <c r="Q164" s="43" t="str">
        <f aca="false">IF(D164="","Missing",IF(COUNTIF($D$2:$D$207,D164)&gt;1,"Duplicate",IF(AND(LEN(D164)-LEN(SUBSTITUTE(D164,"@",""))=1,ISNUMBER(SEARCH(".",D164,SEARCH("@",D164))),ISERROR(SEARCH(" ",D164))),"Valid","Invalid")))</f>
        <v>Valid</v>
      </c>
      <c r="R164" s="43" t="str">
        <f aca="false">IF(E164="","Missing",IF(COUNTIF($E$2:$E$207,E164)&gt;1,"Duplicate",IF(AND(LEN(E164)=16,LEFT(E164,5)="+63 9"),"Valid","Check")))</f>
        <v>Missing</v>
      </c>
      <c r="S164" s="43" t="str">
        <f aca="false">IF(AND(Q164="Valid",R164="Valid",N164&lt;&gt;""),"Complete","Needs follow-up")</f>
        <v>Needs follow-up</v>
      </c>
      <c r="T164" s="44" t="s">
        <v>914</v>
      </c>
    </row>
    <row r="165" customFormat="false" ht="18.75" hidden="false" customHeight="true" outlineLevel="0" collapsed="false">
      <c r="A165" s="38" t="s">
        <v>915</v>
      </c>
      <c r="B165" s="39" t="s">
        <v>722</v>
      </c>
      <c r="C165" s="39" t="s">
        <v>361</v>
      </c>
      <c r="D165" s="39" t="s">
        <v>916</v>
      </c>
      <c r="E165" s="39" t="s">
        <v>917</v>
      </c>
      <c r="F165" s="39" t="s">
        <v>170</v>
      </c>
      <c r="G165" s="39" t="s">
        <v>82</v>
      </c>
      <c r="H165" s="39" t="s">
        <v>312</v>
      </c>
      <c r="I165" s="40" t="n">
        <v>45871</v>
      </c>
      <c r="J165" s="40" t="n">
        <v>46169</v>
      </c>
      <c r="K165" s="33" t="n">
        <v>5</v>
      </c>
      <c r="L165" s="34" t="n">
        <v>9260</v>
      </c>
      <c r="M165" s="41" t="n">
        <f aca="false">IFERROR(L165/K165,0)</f>
        <v>1852</v>
      </c>
      <c r="N165" s="39" t="s">
        <v>130</v>
      </c>
      <c r="O165" s="42" t="n">
        <f aca="false">IF(J165="","",AsOfDate-J165)</f>
        <v>126</v>
      </c>
      <c r="P165" s="43" t="str">
        <f aca="false">IF(A165="","",IF(AsOfDate-I165&lt;=90,"New",IF(AND(O165&lt;=180,L165&gt;=15000),"VIP",IF(O165&lt;=180,"Regular",IF(O165&lt;=365,"At risk","Lapsed")))))</f>
        <v>Regular</v>
      </c>
      <c r="Q165" s="43" t="str">
        <f aca="false">IF(D165="","Missing",IF(COUNTIF($D$2:$D$207,D165)&gt;1,"Duplicate",IF(AND(LEN(D165)-LEN(SUBSTITUTE(D165,"@",""))=1,ISNUMBER(SEARCH(".",D165,SEARCH("@",D165))),ISERROR(SEARCH(" ",D165))),"Valid","Invalid")))</f>
        <v>Valid</v>
      </c>
      <c r="R165" s="43" t="str">
        <f aca="false">IF(E165="","Missing",IF(COUNTIF($E$2:$E$207,E165)&gt;1,"Duplicate",IF(AND(LEN(E165)=16,LEFT(E165,5)="+63 9"),"Valid","Check")))</f>
        <v>Valid</v>
      </c>
      <c r="S165" s="43" t="str">
        <f aca="false">IF(AND(Q165="Valid",R165="Valid",N165&lt;&gt;""),"Complete","Needs follow-up")</f>
        <v>Complete</v>
      </c>
      <c r="T165" s="44" t="s">
        <v>918</v>
      </c>
    </row>
    <row r="166" customFormat="false" ht="18.75" hidden="false" customHeight="true" outlineLevel="0" collapsed="false">
      <c r="A166" s="38" t="s">
        <v>919</v>
      </c>
      <c r="B166" s="39" t="s">
        <v>209</v>
      </c>
      <c r="C166" s="39" t="s">
        <v>920</v>
      </c>
      <c r="D166" s="39" t="s">
        <v>921</v>
      </c>
      <c r="E166" s="39" t="s">
        <v>922</v>
      </c>
      <c r="F166" s="39" t="s">
        <v>150</v>
      </c>
      <c r="G166" s="39" t="s">
        <v>80</v>
      </c>
      <c r="H166" s="39" t="s">
        <v>129</v>
      </c>
      <c r="I166" s="40" t="n">
        <v>45871</v>
      </c>
      <c r="J166" s="40" t="n">
        <v>46163</v>
      </c>
      <c r="K166" s="33" t="n">
        <v>3</v>
      </c>
      <c r="L166" s="34" t="n">
        <v>3220</v>
      </c>
      <c r="M166" s="41" t="n">
        <f aca="false">IFERROR(L166/K166,0)</f>
        <v>1073.33333333333</v>
      </c>
      <c r="N166" s="39" t="s">
        <v>151</v>
      </c>
      <c r="O166" s="42" t="n">
        <f aca="false">IF(J166="","",AsOfDate-J166)</f>
        <v>132</v>
      </c>
      <c r="P166" s="43" t="str">
        <f aca="false">IF(A166="","",IF(AsOfDate-I166&lt;=90,"New",IF(AND(O166&lt;=180,L166&gt;=15000),"VIP",IF(O166&lt;=180,"Regular",IF(O166&lt;=365,"At risk","Lapsed")))))</f>
        <v>Regular</v>
      </c>
      <c r="Q166" s="43" t="str">
        <f aca="false">IF(D166="","Missing",IF(COUNTIF($D$2:$D$207,D166)&gt;1,"Duplicate",IF(AND(LEN(D166)-LEN(SUBSTITUTE(D166,"@",""))=1,ISNUMBER(SEARCH(".",D166,SEARCH("@",D166))),ISERROR(SEARCH(" ",D166))),"Valid","Invalid")))</f>
        <v>Valid</v>
      </c>
      <c r="R166" s="43" t="str">
        <f aca="false">IF(E166="","Missing",IF(COUNTIF($E$2:$E$207,E166)&gt;1,"Duplicate",IF(AND(LEN(E166)=16,LEFT(E166,5)="+63 9"),"Valid","Check")))</f>
        <v>Valid</v>
      </c>
      <c r="S166" s="43" t="str">
        <f aca="false">IF(AND(Q166="Valid",R166="Valid",N166&lt;&gt;""),"Complete","Needs follow-up")</f>
        <v>Complete</v>
      </c>
      <c r="T166" s="44" t="s">
        <v>923</v>
      </c>
    </row>
    <row r="167" customFormat="false" ht="18.75" hidden="false" customHeight="true" outlineLevel="0" collapsed="false">
      <c r="A167" s="38" t="s">
        <v>924</v>
      </c>
      <c r="B167" s="39" t="s">
        <v>925</v>
      </c>
      <c r="C167" s="39" t="s">
        <v>808</v>
      </c>
      <c r="D167" s="39" t="s">
        <v>926</v>
      </c>
      <c r="E167" s="39" t="s">
        <v>927</v>
      </c>
      <c r="F167" s="39" t="s">
        <v>170</v>
      </c>
      <c r="G167" s="39" t="s">
        <v>82</v>
      </c>
      <c r="H167" s="39" t="s">
        <v>285</v>
      </c>
      <c r="I167" s="40" t="n">
        <v>45879</v>
      </c>
      <c r="J167" s="40" t="n">
        <v>46134</v>
      </c>
      <c r="K167" s="33" t="n">
        <v>10</v>
      </c>
      <c r="L167" s="34" t="n">
        <v>18420</v>
      </c>
      <c r="M167" s="41" t="n">
        <f aca="false">IFERROR(L167/K167,0)</f>
        <v>1842</v>
      </c>
      <c r="N167" s="39" t="s">
        <v>151</v>
      </c>
      <c r="O167" s="42" t="n">
        <f aca="false">IF(J167="","",AsOfDate-J167)</f>
        <v>161</v>
      </c>
      <c r="P167" s="43" t="str">
        <f aca="false">IF(A167="","",IF(AsOfDate-I167&lt;=90,"New",IF(AND(O167&lt;=180,L167&gt;=15000),"VIP",IF(O167&lt;=180,"Regular",IF(O167&lt;=365,"At risk","Lapsed")))))</f>
        <v>VIP</v>
      </c>
      <c r="Q167" s="43" t="str">
        <f aca="false">IF(D167="","Missing",IF(COUNTIF($D$2:$D$207,D167)&gt;1,"Duplicate",IF(AND(LEN(D167)-LEN(SUBSTITUTE(D167,"@",""))=1,ISNUMBER(SEARCH(".",D167,SEARCH("@",D167))),ISERROR(SEARCH(" ",D167))),"Valid","Invalid")))</f>
        <v>Valid</v>
      </c>
      <c r="R167" s="43" t="str">
        <f aca="false">IF(E167="","Missing",IF(COUNTIF($E$2:$E$207,E167)&gt;1,"Duplicate",IF(AND(LEN(E167)=16,LEFT(E167,5)="+63 9"),"Valid","Check")))</f>
        <v>Valid</v>
      </c>
      <c r="S167" s="43" t="str">
        <f aca="false">IF(AND(Q167="Valid",R167="Valid",N167&lt;&gt;""),"Complete","Needs follow-up")</f>
        <v>Complete</v>
      </c>
      <c r="T167" s="44" t="s">
        <v>928</v>
      </c>
    </row>
    <row r="168" customFormat="false" ht="18.75" hidden="false" customHeight="true" outlineLevel="0" collapsed="false">
      <c r="A168" s="38" t="s">
        <v>929</v>
      </c>
      <c r="B168" s="39" t="s">
        <v>116</v>
      </c>
      <c r="C168" s="39" t="s">
        <v>173</v>
      </c>
      <c r="D168" s="39" t="s">
        <v>930</v>
      </c>
      <c r="E168" s="39" t="s">
        <v>931</v>
      </c>
      <c r="F168" s="39" t="s">
        <v>128</v>
      </c>
      <c r="G168" s="39" t="s">
        <v>79</v>
      </c>
      <c r="H168" s="39" t="s">
        <v>129</v>
      </c>
      <c r="I168" s="40" t="n">
        <v>45881</v>
      </c>
      <c r="J168" s="40" t="n">
        <v>46267</v>
      </c>
      <c r="K168" s="33" t="n">
        <v>3</v>
      </c>
      <c r="L168" s="34" t="n">
        <v>2180</v>
      </c>
      <c r="M168" s="41" t="n">
        <f aca="false">IFERROR(L168/K168,0)</f>
        <v>726.666666666667</v>
      </c>
      <c r="N168" s="39" t="s">
        <v>130</v>
      </c>
      <c r="O168" s="42" t="n">
        <f aca="false">IF(J168="","",AsOfDate-J168)</f>
        <v>28</v>
      </c>
      <c r="P168" s="43" t="str">
        <f aca="false">IF(A168="","",IF(AsOfDate-I168&lt;=90,"New",IF(AND(O168&lt;=180,L168&gt;=15000),"VIP",IF(O168&lt;=180,"Regular",IF(O168&lt;=365,"At risk","Lapsed")))))</f>
        <v>Regular</v>
      </c>
      <c r="Q168" s="43" t="str">
        <f aca="false">IF(D168="","Missing",IF(COUNTIF($D$2:$D$207,D168)&gt;1,"Duplicate",IF(AND(LEN(D168)-LEN(SUBSTITUTE(D168,"@",""))=1,ISNUMBER(SEARCH(".",D168,SEARCH("@",D168))),ISERROR(SEARCH(" ",D168))),"Valid","Invalid")))</f>
        <v>Valid</v>
      </c>
      <c r="R168" s="43" t="str">
        <f aca="false">IF(E168="","Missing",IF(COUNTIF($E$2:$E$207,E168)&gt;1,"Duplicate",IF(AND(LEN(E168)=16,LEFT(E168,5)="+63 9"),"Valid","Check")))</f>
        <v>Valid</v>
      </c>
      <c r="S168" s="43" t="str">
        <f aca="false">IF(AND(Q168="Valid",R168="Valid",N168&lt;&gt;""),"Complete","Needs follow-up")</f>
        <v>Complete</v>
      </c>
      <c r="T168" s="44" t="s">
        <v>932</v>
      </c>
    </row>
    <row r="169" customFormat="false" ht="18.75" hidden="false" customHeight="true" outlineLevel="0" collapsed="false">
      <c r="A169" s="38" t="s">
        <v>933</v>
      </c>
      <c r="B169" s="39" t="s">
        <v>348</v>
      </c>
      <c r="C169" s="39" t="s">
        <v>465</v>
      </c>
      <c r="D169" s="39" t="s">
        <v>934</v>
      </c>
      <c r="E169" s="39" t="s">
        <v>935</v>
      </c>
      <c r="F169" s="39" t="s">
        <v>128</v>
      </c>
      <c r="G169" s="39" t="s">
        <v>79</v>
      </c>
      <c r="H169" s="39" t="s">
        <v>182</v>
      </c>
      <c r="I169" s="40" t="n">
        <v>45894</v>
      </c>
      <c r="J169" s="40" t="n">
        <v>46188</v>
      </c>
      <c r="K169" s="33" t="n">
        <v>4</v>
      </c>
      <c r="L169" s="34" t="n">
        <v>5920</v>
      </c>
      <c r="M169" s="41" t="n">
        <f aca="false">IFERROR(L169/K169,0)</f>
        <v>1480</v>
      </c>
      <c r="N169" s="39" t="s">
        <v>151</v>
      </c>
      <c r="O169" s="42" t="n">
        <f aca="false">IF(J169="","",AsOfDate-J169)</f>
        <v>107</v>
      </c>
      <c r="P169" s="43" t="str">
        <f aca="false">IF(A169="","",IF(AsOfDate-I169&lt;=90,"New",IF(AND(O169&lt;=180,L169&gt;=15000),"VIP",IF(O169&lt;=180,"Regular",IF(O169&lt;=365,"At risk","Lapsed")))))</f>
        <v>Regular</v>
      </c>
      <c r="Q169" s="43" t="str">
        <f aca="false">IF(D169="","Missing",IF(COUNTIF($D$2:$D$207,D169)&gt;1,"Duplicate",IF(AND(LEN(D169)-LEN(SUBSTITUTE(D169,"@",""))=1,ISNUMBER(SEARCH(".",D169,SEARCH("@",D169))),ISERROR(SEARCH(" ",D169))),"Valid","Invalid")))</f>
        <v>Valid</v>
      </c>
      <c r="R169" s="43" t="str">
        <f aca="false">IF(E169="","Missing",IF(COUNTIF($E$2:$E$207,E169)&gt;1,"Duplicate",IF(AND(LEN(E169)=16,LEFT(E169,5)="+63 9"),"Valid","Check")))</f>
        <v>Valid</v>
      </c>
      <c r="S169" s="43" t="str">
        <f aca="false">IF(AND(Q169="Valid",R169="Valid",N169&lt;&gt;""),"Complete","Needs follow-up")</f>
        <v>Complete</v>
      </c>
      <c r="T169" s="44" t="s">
        <v>936</v>
      </c>
    </row>
    <row r="170" customFormat="false" ht="18.75" hidden="false" customHeight="true" outlineLevel="0" collapsed="false">
      <c r="A170" s="38" t="s">
        <v>937</v>
      </c>
      <c r="B170" s="39" t="s">
        <v>220</v>
      </c>
      <c r="C170" s="39" t="s">
        <v>746</v>
      </c>
      <c r="D170" s="39" t="s">
        <v>938</v>
      </c>
      <c r="E170" s="39" t="s">
        <v>939</v>
      </c>
      <c r="F170" s="39" t="s">
        <v>170</v>
      </c>
      <c r="G170" s="39" t="s">
        <v>82</v>
      </c>
      <c r="H170" s="39" t="s">
        <v>312</v>
      </c>
      <c r="I170" s="40" t="n">
        <v>45900</v>
      </c>
      <c r="J170" s="40" t="n">
        <v>46149</v>
      </c>
      <c r="K170" s="33" t="n">
        <v>5</v>
      </c>
      <c r="L170" s="34" t="n">
        <v>4360</v>
      </c>
      <c r="M170" s="41" t="n">
        <f aca="false">IFERROR(L170/K170,0)</f>
        <v>872</v>
      </c>
      <c r="N170" s="39" t="s">
        <v>151</v>
      </c>
      <c r="O170" s="42" t="n">
        <f aca="false">IF(J170="","",AsOfDate-J170)</f>
        <v>146</v>
      </c>
      <c r="P170" s="43" t="str">
        <f aca="false">IF(A170="","",IF(AsOfDate-I170&lt;=90,"New",IF(AND(O170&lt;=180,L170&gt;=15000),"VIP",IF(O170&lt;=180,"Regular",IF(O170&lt;=365,"At risk","Lapsed")))))</f>
        <v>Regular</v>
      </c>
      <c r="Q170" s="43" t="str">
        <f aca="false">IF(D170="","Missing",IF(COUNTIF($D$2:$D$207,D170)&gt;1,"Duplicate",IF(AND(LEN(D170)-LEN(SUBSTITUTE(D170,"@",""))=1,ISNUMBER(SEARCH(".",D170,SEARCH("@",D170))),ISERROR(SEARCH(" ",D170))),"Valid","Invalid")))</f>
        <v>Valid</v>
      </c>
      <c r="R170" s="43" t="str">
        <f aca="false">IF(E170="","Missing",IF(COUNTIF($E$2:$E$207,E170)&gt;1,"Duplicate",IF(AND(LEN(E170)=16,LEFT(E170,5)="+63 9"),"Valid","Check")))</f>
        <v>Valid</v>
      </c>
      <c r="S170" s="43" t="str">
        <f aca="false">IF(AND(Q170="Valid",R170="Valid",N170&lt;&gt;""),"Complete","Needs follow-up")</f>
        <v>Complete</v>
      </c>
      <c r="T170" s="44" t="s">
        <v>940</v>
      </c>
    </row>
    <row r="171" customFormat="false" ht="18.75" hidden="false" customHeight="true" outlineLevel="0" collapsed="false">
      <c r="A171" s="38" t="s">
        <v>941</v>
      </c>
      <c r="B171" s="39" t="s">
        <v>450</v>
      </c>
      <c r="C171" s="39" t="s">
        <v>288</v>
      </c>
      <c r="D171" s="39" t="s">
        <v>942</v>
      </c>
      <c r="E171" s="39" t="s">
        <v>943</v>
      </c>
      <c r="F171" s="39" t="s">
        <v>128</v>
      </c>
      <c r="G171" s="39" t="s">
        <v>79</v>
      </c>
      <c r="H171" s="39" t="s">
        <v>164</v>
      </c>
      <c r="I171" s="40" t="n">
        <v>45946</v>
      </c>
      <c r="J171" s="40" t="n">
        <v>46290</v>
      </c>
      <c r="K171" s="33" t="n">
        <v>6</v>
      </c>
      <c r="L171" s="34" t="n">
        <v>8030</v>
      </c>
      <c r="M171" s="41" t="n">
        <f aca="false">IFERROR(L171/K171,0)</f>
        <v>1338.33333333333</v>
      </c>
      <c r="N171" s="39" t="s">
        <v>151</v>
      </c>
      <c r="O171" s="42" t="n">
        <f aca="false">IF(J171="","",AsOfDate-J171)</f>
        <v>5</v>
      </c>
      <c r="P171" s="43" t="str">
        <f aca="false">IF(A171="","",IF(AsOfDate-I171&lt;=90,"New",IF(AND(O171&lt;=180,L171&gt;=15000),"VIP",IF(O171&lt;=180,"Regular",IF(O171&lt;=365,"At risk","Lapsed")))))</f>
        <v>Regular</v>
      </c>
      <c r="Q171" s="43" t="str">
        <f aca="false">IF(D171="","Missing",IF(COUNTIF($D$2:$D$207,D171)&gt;1,"Duplicate",IF(AND(LEN(D171)-LEN(SUBSTITUTE(D171,"@",""))=1,ISNUMBER(SEARCH(".",D171,SEARCH("@",D171))),ISERROR(SEARCH(" ",D171))),"Valid","Invalid")))</f>
        <v>Valid</v>
      </c>
      <c r="R171" s="43" t="str">
        <f aca="false">IF(E171="","Missing",IF(COUNTIF($E$2:$E$207,E171)&gt;1,"Duplicate",IF(AND(LEN(E171)=16,LEFT(E171,5)="+63 9"),"Valid","Check")))</f>
        <v>Valid</v>
      </c>
      <c r="S171" s="43" t="str">
        <f aca="false">IF(AND(Q171="Valid",R171="Valid",N171&lt;&gt;""),"Complete","Needs follow-up")</f>
        <v>Complete</v>
      </c>
      <c r="T171" s="44" t="s">
        <v>944</v>
      </c>
    </row>
    <row r="172" customFormat="false" ht="18.75" hidden="false" customHeight="true" outlineLevel="0" collapsed="false">
      <c r="A172" s="38" t="s">
        <v>945</v>
      </c>
      <c r="B172" s="39" t="s">
        <v>491</v>
      </c>
      <c r="C172" s="39" t="s">
        <v>435</v>
      </c>
      <c r="D172" s="39" t="s">
        <v>946</v>
      </c>
      <c r="E172" s="39" t="s">
        <v>947</v>
      </c>
      <c r="F172" s="39" t="s">
        <v>150</v>
      </c>
      <c r="G172" s="39" t="s">
        <v>80</v>
      </c>
      <c r="H172" s="39" t="s">
        <v>164</v>
      </c>
      <c r="I172" s="40" t="n">
        <v>45976</v>
      </c>
      <c r="J172" s="40" t="n">
        <v>46207</v>
      </c>
      <c r="K172" s="33" t="n">
        <v>8</v>
      </c>
      <c r="L172" s="34" t="n">
        <v>9900</v>
      </c>
      <c r="M172" s="41" t="n">
        <f aca="false">IFERROR(L172/K172,0)</f>
        <v>1237.5</v>
      </c>
      <c r="N172" s="39" t="s">
        <v>151</v>
      </c>
      <c r="O172" s="42" t="n">
        <f aca="false">IF(J172="","",AsOfDate-J172)</f>
        <v>88</v>
      </c>
      <c r="P172" s="43" t="str">
        <f aca="false">IF(A172="","",IF(AsOfDate-I172&lt;=90,"New",IF(AND(O172&lt;=180,L172&gt;=15000),"VIP",IF(O172&lt;=180,"Regular",IF(O172&lt;=365,"At risk","Lapsed")))))</f>
        <v>Regular</v>
      </c>
      <c r="Q172" s="43" t="str">
        <f aca="false">IF(D172="","Missing",IF(COUNTIF($D$2:$D$207,D172)&gt;1,"Duplicate",IF(AND(LEN(D172)-LEN(SUBSTITUTE(D172,"@",""))=1,ISNUMBER(SEARCH(".",D172,SEARCH("@",D172))),ISERROR(SEARCH(" ",D172))),"Valid","Invalid")))</f>
        <v>Valid</v>
      </c>
      <c r="R172" s="43" t="str">
        <f aca="false">IF(E172="","Missing",IF(COUNTIF($E$2:$E$207,E172)&gt;1,"Duplicate",IF(AND(LEN(E172)=16,LEFT(E172,5)="+63 9"),"Valid","Check")))</f>
        <v>Valid</v>
      </c>
      <c r="S172" s="43" t="str">
        <f aca="false">IF(AND(Q172="Valid",R172="Valid",N172&lt;&gt;""),"Complete","Needs follow-up")</f>
        <v>Complete</v>
      </c>
      <c r="T172" s="44" t="s">
        <v>948</v>
      </c>
    </row>
    <row r="173" customFormat="false" ht="18.75" hidden="false" customHeight="true" outlineLevel="0" collapsed="false">
      <c r="A173" s="38" t="s">
        <v>949</v>
      </c>
      <c r="B173" s="39" t="s">
        <v>950</v>
      </c>
      <c r="C173" s="39" t="s">
        <v>606</v>
      </c>
      <c r="D173" s="39" t="s">
        <v>951</v>
      </c>
      <c r="E173" s="39" t="s">
        <v>952</v>
      </c>
      <c r="F173" s="39" t="s">
        <v>128</v>
      </c>
      <c r="G173" s="39" t="s">
        <v>79</v>
      </c>
      <c r="H173" s="39" t="s">
        <v>121</v>
      </c>
      <c r="I173" s="40" t="n">
        <v>45989</v>
      </c>
      <c r="J173" s="40" t="n">
        <v>46179</v>
      </c>
      <c r="K173" s="33" t="n">
        <v>6</v>
      </c>
      <c r="L173" s="34" t="n">
        <v>3690</v>
      </c>
      <c r="M173" s="41" t="n">
        <f aca="false">IFERROR(L173/K173,0)</f>
        <v>615</v>
      </c>
      <c r="N173" s="39" t="s">
        <v>151</v>
      </c>
      <c r="O173" s="42" t="n">
        <f aca="false">IF(J173="","",AsOfDate-J173)</f>
        <v>116</v>
      </c>
      <c r="P173" s="43" t="str">
        <f aca="false">IF(A173="","",IF(AsOfDate-I173&lt;=90,"New",IF(AND(O173&lt;=180,L173&gt;=15000),"VIP",IF(O173&lt;=180,"Regular",IF(O173&lt;=365,"At risk","Lapsed")))))</f>
        <v>Regular</v>
      </c>
      <c r="Q173" s="43" t="str">
        <f aca="false">IF(D173="","Missing",IF(COUNTIF($D$2:$D$207,D173)&gt;1,"Duplicate",IF(AND(LEN(D173)-LEN(SUBSTITUTE(D173,"@",""))=1,ISNUMBER(SEARCH(".",D173,SEARCH("@",D173))),ISERROR(SEARCH(" ",D173))),"Valid","Invalid")))</f>
        <v>Valid</v>
      </c>
      <c r="R173" s="43" t="str">
        <f aca="false">IF(E173="","Missing",IF(COUNTIF($E$2:$E$207,E173)&gt;1,"Duplicate",IF(AND(LEN(E173)=16,LEFT(E173,5)="+63 9"),"Valid","Check")))</f>
        <v>Valid</v>
      </c>
      <c r="S173" s="43" t="str">
        <f aca="false">IF(AND(Q173="Valid",R173="Valid",N173&lt;&gt;""),"Complete","Needs follow-up")</f>
        <v>Complete</v>
      </c>
      <c r="T173" s="44" t="s">
        <v>953</v>
      </c>
    </row>
    <row r="174" customFormat="false" ht="18.75" hidden="false" customHeight="true" outlineLevel="0" collapsed="false">
      <c r="A174" s="38" t="s">
        <v>954</v>
      </c>
      <c r="B174" s="39" t="s">
        <v>327</v>
      </c>
      <c r="C174" s="39" t="s">
        <v>856</v>
      </c>
      <c r="D174" s="39" t="s">
        <v>955</v>
      </c>
      <c r="E174" s="39" t="s">
        <v>956</v>
      </c>
      <c r="F174" s="39" t="s">
        <v>120</v>
      </c>
      <c r="G174" s="39" t="s">
        <v>80</v>
      </c>
      <c r="H174" s="39" t="s">
        <v>164</v>
      </c>
      <c r="I174" s="40" t="n">
        <v>45999</v>
      </c>
      <c r="J174" s="40" t="n">
        <v>46243</v>
      </c>
      <c r="K174" s="33" t="n">
        <v>10</v>
      </c>
      <c r="L174" s="34" t="n">
        <v>14400</v>
      </c>
      <c r="M174" s="41" t="n">
        <f aca="false">IFERROR(L174/K174,0)</f>
        <v>1440</v>
      </c>
      <c r="N174" s="39" t="s">
        <v>151</v>
      </c>
      <c r="O174" s="42" t="n">
        <f aca="false">IF(J174="","",AsOfDate-J174)</f>
        <v>52</v>
      </c>
      <c r="P174" s="43" t="str">
        <f aca="false">IF(A174="","",IF(AsOfDate-I174&lt;=90,"New",IF(AND(O174&lt;=180,L174&gt;=15000),"VIP",IF(O174&lt;=180,"Regular",IF(O174&lt;=365,"At risk","Lapsed")))))</f>
        <v>Regular</v>
      </c>
      <c r="Q174" s="43" t="str">
        <f aca="false">IF(D174="","Missing",IF(COUNTIF($D$2:$D$207,D174)&gt;1,"Duplicate",IF(AND(LEN(D174)-LEN(SUBSTITUTE(D174,"@",""))=1,ISNUMBER(SEARCH(".",D174,SEARCH("@",D174))),ISERROR(SEARCH(" ",D174))),"Valid","Invalid")))</f>
        <v>Valid</v>
      </c>
      <c r="R174" s="43" t="str">
        <f aca="false">IF(E174="","Missing",IF(COUNTIF($E$2:$E$207,E174)&gt;1,"Duplicate",IF(AND(LEN(E174)=16,LEFT(E174,5)="+63 9"),"Valid","Check")))</f>
        <v>Valid</v>
      </c>
      <c r="S174" s="43" t="str">
        <f aca="false">IF(AND(Q174="Valid",R174="Valid",N174&lt;&gt;""),"Complete","Needs follow-up")</f>
        <v>Complete</v>
      </c>
      <c r="T174" s="44" t="s">
        <v>957</v>
      </c>
    </row>
    <row r="175" customFormat="false" ht="18.75" hidden="false" customHeight="true" outlineLevel="0" collapsed="false">
      <c r="A175" s="38" t="s">
        <v>958</v>
      </c>
      <c r="B175" s="39" t="s">
        <v>185</v>
      </c>
      <c r="C175" s="39" t="s">
        <v>959</v>
      </c>
      <c r="D175" s="39" t="s">
        <v>960</v>
      </c>
      <c r="E175" s="39" t="s">
        <v>961</v>
      </c>
      <c r="F175" s="39" t="s">
        <v>128</v>
      </c>
      <c r="G175" s="39" t="s">
        <v>79</v>
      </c>
      <c r="H175" s="39" t="s">
        <v>121</v>
      </c>
      <c r="I175" s="40" t="n">
        <v>46003</v>
      </c>
      <c r="J175" s="40" t="n">
        <v>46150</v>
      </c>
      <c r="K175" s="33" t="n">
        <v>6</v>
      </c>
      <c r="L175" s="34" t="n">
        <v>5580</v>
      </c>
      <c r="M175" s="41" t="n">
        <f aca="false">IFERROR(L175/K175,0)</f>
        <v>930</v>
      </c>
      <c r="N175" s="39" t="s">
        <v>130</v>
      </c>
      <c r="O175" s="42" t="n">
        <f aca="false">IF(J175="","",AsOfDate-J175)</f>
        <v>145</v>
      </c>
      <c r="P175" s="43" t="str">
        <f aca="false">IF(A175="","",IF(AsOfDate-I175&lt;=90,"New",IF(AND(O175&lt;=180,L175&gt;=15000),"VIP",IF(O175&lt;=180,"Regular",IF(O175&lt;=365,"At risk","Lapsed")))))</f>
        <v>Regular</v>
      </c>
      <c r="Q175" s="43" t="str">
        <f aca="false">IF(D175="","Missing",IF(COUNTIF($D$2:$D$207,D175)&gt;1,"Duplicate",IF(AND(LEN(D175)-LEN(SUBSTITUTE(D175,"@",""))=1,ISNUMBER(SEARCH(".",D175,SEARCH("@",D175))),ISERROR(SEARCH(" ",D175))),"Valid","Invalid")))</f>
        <v>Valid</v>
      </c>
      <c r="R175" s="43" t="str">
        <f aca="false">IF(E175="","Missing",IF(COUNTIF($E$2:$E$207,E175)&gt;1,"Duplicate",IF(AND(LEN(E175)=16,LEFT(E175,5)="+63 9"),"Valid","Check")))</f>
        <v>Valid</v>
      </c>
      <c r="S175" s="43" t="str">
        <f aca="false">IF(AND(Q175="Valid",R175="Valid",N175&lt;&gt;""),"Complete","Needs follow-up")</f>
        <v>Complete</v>
      </c>
      <c r="T175" s="44" t="s">
        <v>962</v>
      </c>
    </row>
    <row r="176" customFormat="false" ht="18.75" hidden="false" customHeight="true" outlineLevel="0" collapsed="false">
      <c r="A176" s="38" t="s">
        <v>963</v>
      </c>
      <c r="B176" s="39" t="s">
        <v>964</v>
      </c>
      <c r="C176" s="39" t="s">
        <v>965</v>
      </c>
      <c r="D176" s="39" t="s">
        <v>966</v>
      </c>
      <c r="E176" s="39" t="s">
        <v>967</v>
      </c>
      <c r="F176" s="39" t="s">
        <v>324</v>
      </c>
      <c r="G176" s="39" t="s">
        <v>80</v>
      </c>
      <c r="H176" s="39" t="s">
        <v>121</v>
      </c>
      <c r="I176" s="40" t="n">
        <v>46007</v>
      </c>
      <c r="J176" s="40" t="n">
        <v>46275</v>
      </c>
      <c r="K176" s="33" t="n">
        <v>6</v>
      </c>
      <c r="L176" s="34" t="n">
        <v>5460</v>
      </c>
      <c r="M176" s="41" t="n">
        <f aca="false">IFERROR(L176/K176,0)</f>
        <v>910</v>
      </c>
      <c r="N176" s="39" t="s">
        <v>151</v>
      </c>
      <c r="O176" s="42" t="n">
        <f aca="false">IF(J176="","",AsOfDate-J176)</f>
        <v>20</v>
      </c>
      <c r="P176" s="43" t="str">
        <f aca="false">IF(A176="","",IF(AsOfDate-I176&lt;=90,"New",IF(AND(O176&lt;=180,L176&gt;=15000),"VIP",IF(O176&lt;=180,"Regular",IF(O176&lt;=365,"At risk","Lapsed")))))</f>
        <v>Regular</v>
      </c>
      <c r="Q176" s="43" t="str">
        <f aca="false">IF(D176="","Missing",IF(COUNTIF($D$2:$D$207,D176)&gt;1,"Duplicate",IF(AND(LEN(D176)-LEN(SUBSTITUTE(D176,"@",""))=1,ISNUMBER(SEARCH(".",D176,SEARCH("@",D176))),ISERROR(SEARCH(" ",D176))),"Valid","Invalid")))</f>
        <v>Valid</v>
      </c>
      <c r="R176" s="43" t="str">
        <f aca="false">IF(E176="","Missing",IF(COUNTIF($E$2:$E$207,E176)&gt;1,"Duplicate",IF(AND(LEN(E176)=16,LEFT(E176,5)="+63 9"),"Valid","Check")))</f>
        <v>Valid</v>
      </c>
      <c r="S176" s="43" t="str">
        <f aca="false">IF(AND(Q176="Valid",R176="Valid",N176&lt;&gt;""),"Complete","Needs follow-up")</f>
        <v>Complete</v>
      </c>
      <c r="T176" s="44" t="s">
        <v>968</v>
      </c>
    </row>
    <row r="177" customFormat="false" ht="18.75" hidden="false" customHeight="true" outlineLevel="0" collapsed="false">
      <c r="A177" s="38" t="s">
        <v>969</v>
      </c>
      <c r="B177" s="39" t="s">
        <v>146</v>
      </c>
      <c r="C177" s="39" t="s">
        <v>970</v>
      </c>
      <c r="D177" s="39" t="s">
        <v>971</v>
      </c>
      <c r="E177" s="39" t="s">
        <v>972</v>
      </c>
      <c r="F177" s="39" t="s">
        <v>163</v>
      </c>
      <c r="G177" s="39" t="s">
        <v>79</v>
      </c>
      <c r="H177" s="39" t="s">
        <v>129</v>
      </c>
      <c r="I177" s="40" t="n">
        <v>46010</v>
      </c>
      <c r="J177" s="40" t="n">
        <v>46253</v>
      </c>
      <c r="K177" s="33" t="n">
        <v>8</v>
      </c>
      <c r="L177" s="34" t="n">
        <v>6760</v>
      </c>
      <c r="M177" s="41" t="n">
        <f aca="false">IFERROR(L177/K177,0)</f>
        <v>845</v>
      </c>
      <c r="N177" s="39" t="s">
        <v>151</v>
      </c>
      <c r="O177" s="42" t="n">
        <f aca="false">IF(J177="","",AsOfDate-J177)</f>
        <v>42</v>
      </c>
      <c r="P177" s="43" t="str">
        <f aca="false">IF(A177="","",IF(AsOfDate-I177&lt;=90,"New",IF(AND(O177&lt;=180,L177&gt;=15000),"VIP",IF(O177&lt;=180,"Regular",IF(O177&lt;=365,"At risk","Lapsed")))))</f>
        <v>Regular</v>
      </c>
      <c r="Q177" s="43" t="str">
        <f aca="false">IF(D177="","Missing",IF(COUNTIF($D$2:$D$207,D177)&gt;1,"Duplicate",IF(AND(LEN(D177)-LEN(SUBSTITUTE(D177,"@",""))=1,ISNUMBER(SEARCH(".",D177,SEARCH("@",D177))),ISERROR(SEARCH(" ",D177))),"Valid","Invalid")))</f>
        <v>Valid</v>
      </c>
      <c r="R177" s="43" t="str">
        <f aca="false">IF(E177="","Missing",IF(COUNTIF($E$2:$E$207,E177)&gt;1,"Duplicate",IF(AND(LEN(E177)=16,LEFT(E177,5)="+63 9"),"Valid","Check")))</f>
        <v>Valid</v>
      </c>
      <c r="S177" s="43" t="str">
        <f aca="false">IF(AND(Q177="Valid",R177="Valid",N177&lt;&gt;""),"Complete","Needs follow-up")</f>
        <v>Complete</v>
      </c>
      <c r="T177" s="44" t="s">
        <v>973</v>
      </c>
    </row>
    <row r="178" customFormat="false" ht="18.75" hidden="false" customHeight="true" outlineLevel="0" collapsed="false">
      <c r="A178" s="38" t="s">
        <v>974</v>
      </c>
      <c r="B178" s="39" t="s">
        <v>434</v>
      </c>
      <c r="C178" s="39" t="s">
        <v>401</v>
      </c>
      <c r="D178" s="39" t="s">
        <v>975</v>
      </c>
      <c r="E178" s="39" t="s">
        <v>976</v>
      </c>
      <c r="F178" s="39" t="s">
        <v>170</v>
      </c>
      <c r="G178" s="39" t="s">
        <v>82</v>
      </c>
      <c r="H178" s="39" t="s">
        <v>129</v>
      </c>
      <c r="I178" s="40" t="n">
        <v>46023</v>
      </c>
      <c r="J178" s="40" t="n">
        <v>46288</v>
      </c>
      <c r="K178" s="33" t="n">
        <v>4</v>
      </c>
      <c r="L178" s="34" t="n">
        <v>4920</v>
      </c>
      <c r="M178" s="41" t="n">
        <f aca="false">IFERROR(L178/K178,0)</f>
        <v>1230</v>
      </c>
      <c r="N178" s="39" t="s">
        <v>151</v>
      </c>
      <c r="O178" s="42" t="n">
        <f aca="false">IF(J178="","",AsOfDate-J178)</f>
        <v>7</v>
      </c>
      <c r="P178" s="43" t="str">
        <f aca="false">IF(A178="","",IF(AsOfDate-I178&lt;=90,"New",IF(AND(O178&lt;=180,L178&gt;=15000),"VIP",IF(O178&lt;=180,"Regular",IF(O178&lt;=365,"At risk","Lapsed")))))</f>
        <v>Regular</v>
      </c>
      <c r="Q178" s="43" t="str">
        <f aca="false">IF(D178="","Missing",IF(COUNTIF($D$2:$D$207,D178)&gt;1,"Duplicate",IF(AND(LEN(D178)-LEN(SUBSTITUTE(D178,"@",""))=1,ISNUMBER(SEARCH(".",D178,SEARCH("@",D178))),ISERROR(SEARCH(" ",D178))),"Valid","Invalid")))</f>
        <v>Valid</v>
      </c>
      <c r="R178" s="43" t="str">
        <f aca="false">IF(E178="","Missing",IF(COUNTIF($E$2:$E$207,E178)&gt;1,"Duplicate",IF(AND(LEN(E178)=16,LEFT(E178,5)="+63 9"),"Valid","Check")))</f>
        <v>Valid</v>
      </c>
      <c r="S178" s="43" t="str">
        <f aca="false">IF(AND(Q178="Valid",R178="Valid",N178&lt;&gt;""),"Complete","Needs follow-up")</f>
        <v>Complete</v>
      </c>
      <c r="T178" s="44" t="s">
        <v>977</v>
      </c>
    </row>
    <row r="179" customFormat="false" ht="18.75" hidden="false" customHeight="true" outlineLevel="0" collapsed="false">
      <c r="A179" s="38" t="s">
        <v>978</v>
      </c>
      <c r="B179" s="39" t="s">
        <v>434</v>
      </c>
      <c r="C179" s="39" t="s">
        <v>309</v>
      </c>
      <c r="D179" s="39" t="s">
        <v>979</v>
      </c>
      <c r="E179" s="39" t="s">
        <v>980</v>
      </c>
      <c r="F179" s="39" t="s">
        <v>295</v>
      </c>
      <c r="G179" s="39" t="s">
        <v>84</v>
      </c>
      <c r="H179" s="39" t="s">
        <v>189</v>
      </c>
      <c r="I179" s="40" t="n">
        <v>46025</v>
      </c>
      <c r="J179" s="40" t="n">
        <v>46152</v>
      </c>
      <c r="K179" s="33" t="n">
        <v>8</v>
      </c>
      <c r="L179" s="34" t="n">
        <v>8620</v>
      </c>
      <c r="M179" s="41" t="n">
        <f aca="false">IFERROR(L179/K179,0)</f>
        <v>1077.5</v>
      </c>
      <c r="N179" s="39" t="s">
        <v>151</v>
      </c>
      <c r="O179" s="42" t="n">
        <f aca="false">IF(J179="","",AsOfDate-J179)</f>
        <v>143</v>
      </c>
      <c r="P179" s="43" t="str">
        <f aca="false">IF(A179="","",IF(AsOfDate-I179&lt;=90,"New",IF(AND(O179&lt;=180,L179&gt;=15000),"VIP",IF(O179&lt;=180,"Regular",IF(O179&lt;=365,"At risk","Lapsed")))))</f>
        <v>Regular</v>
      </c>
      <c r="Q179" s="43" t="str">
        <f aca="false">IF(D179="","Missing",IF(COUNTIF($D$2:$D$207,D179)&gt;1,"Duplicate",IF(AND(LEN(D179)-LEN(SUBSTITUTE(D179,"@",""))=1,ISNUMBER(SEARCH(".",D179,SEARCH("@",D179))),ISERROR(SEARCH(" ",D179))),"Valid","Invalid")))</f>
        <v>Valid</v>
      </c>
      <c r="R179" s="43" t="str">
        <f aca="false">IF(E179="","Missing",IF(COUNTIF($E$2:$E$207,E179)&gt;1,"Duplicate",IF(AND(LEN(E179)=16,LEFT(E179,5)="+63 9"),"Valid","Check")))</f>
        <v>Valid</v>
      </c>
      <c r="S179" s="43" t="str">
        <f aca="false">IF(AND(Q179="Valid",R179="Valid",N179&lt;&gt;""),"Complete","Needs follow-up")</f>
        <v>Complete</v>
      </c>
      <c r="T179" s="44" t="s">
        <v>981</v>
      </c>
    </row>
    <row r="180" customFormat="false" ht="18.75" hidden="false" customHeight="true" outlineLevel="0" collapsed="false">
      <c r="A180" s="38" t="s">
        <v>982</v>
      </c>
      <c r="B180" s="39" t="s">
        <v>925</v>
      </c>
      <c r="C180" s="39" t="s">
        <v>983</v>
      </c>
      <c r="D180" s="39" t="s">
        <v>984</v>
      </c>
      <c r="E180" s="39" t="s">
        <v>985</v>
      </c>
      <c r="F180" s="39" t="s">
        <v>128</v>
      </c>
      <c r="G180" s="39" t="s">
        <v>79</v>
      </c>
      <c r="H180" s="39" t="s">
        <v>129</v>
      </c>
      <c r="I180" s="40" t="n">
        <v>46079</v>
      </c>
      <c r="J180" s="40" t="n">
        <v>46269</v>
      </c>
      <c r="K180" s="33" t="n">
        <v>13</v>
      </c>
      <c r="L180" s="34" t="n">
        <v>11360</v>
      </c>
      <c r="M180" s="41" t="n">
        <f aca="false">IFERROR(L180/K180,0)</f>
        <v>873.846153846154</v>
      </c>
      <c r="N180" s="39" t="s">
        <v>130</v>
      </c>
      <c r="O180" s="42" t="n">
        <f aca="false">IF(J180="","",AsOfDate-J180)</f>
        <v>26</v>
      </c>
      <c r="P180" s="43" t="str">
        <f aca="false">IF(A180="","",IF(AsOfDate-I180&lt;=90,"New",IF(AND(O180&lt;=180,L180&gt;=15000),"VIP",IF(O180&lt;=180,"Regular",IF(O180&lt;=365,"At risk","Lapsed")))))</f>
        <v>Regular</v>
      </c>
      <c r="Q180" s="43" t="str">
        <f aca="false">IF(D180="","Missing",IF(COUNTIF($D$2:$D$207,D180)&gt;1,"Duplicate",IF(AND(LEN(D180)-LEN(SUBSTITUTE(D180,"@",""))=1,ISNUMBER(SEARCH(".",D180,SEARCH("@",D180))),ISERROR(SEARCH(" ",D180))),"Valid","Invalid")))</f>
        <v>Valid</v>
      </c>
      <c r="R180" s="43" t="str">
        <f aca="false">IF(E180="","Missing",IF(COUNTIF($E$2:$E$207,E180)&gt;1,"Duplicate",IF(AND(LEN(E180)=16,LEFT(E180,5)="+63 9"),"Valid","Check")))</f>
        <v>Valid</v>
      </c>
      <c r="S180" s="43" t="str">
        <f aca="false">IF(AND(Q180="Valid",R180="Valid",N180&lt;&gt;""),"Complete","Needs follow-up")</f>
        <v>Complete</v>
      </c>
      <c r="T180" s="44" t="s">
        <v>986</v>
      </c>
    </row>
    <row r="181" customFormat="false" ht="18.75" hidden="false" customHeight="true" outlineLevel="0" collapsed="false">
      <c r="A181" s="38" t="s">
        <v>987</v>
      </c>
      <c r="B181" s="39" t="s">
        <v>140</v>
      </c>
      <c r="C181" s="39" t="s">
        <v>361</v>
      </c>
      <c r="D181" s="39" t="s">
        <v>988</v>
      </c>
      <c r="E181" s="39" t="s">
        <v>989</v>
      </c>
      <c r="F181" s="39" t="s">
        <v>120</v>
      </c>
      <c r="G181" s="39" t="s">
        <v>80</v>
      </c>
      <c r="H181" s="39" t="s">
        <v>189</v>
      </c>
      <c r="I181" s="40" t="n">
        <v>46082</v>
      </c>
      <c r="J181" s="40" t="n">
        <v>46209</v>
      </c>
      <c r="K181" s="33" t="n">
        <v>8</v>
      </c>
      <c r="L181" s="34" t="n">
        <v>11090</v>
      </c>
      <c r="M181" s="41" t="n">
        <f aca="false">IFERROR(L181/K181,0)</f>
        <v>1386.25</v>
      </c>
      <c r="N181" s="39" t="s">
        <v>151</v>
      </c>
      <c r="O181" s="42" t="n">
        <f aca="false">IF(J181="","",AsOfDate-J181)</f>
        <v>86</v>
      </c>
      <c r="P181" s="43" t="str">
        <f aca="false">IF(A181="","",IF(AsOfDate-I181&lt;=90,"New",IF(AND(O181&lt;=180,L181&gt;=15000),"VIP",IF(O181&lt;=180,"Regular",IF(O181&lt;=365,"At risk","Lapsed")))))</f>
        <v>Regular</v>
      </c>
      <c r="Q181" s="43" t="str">
        <f aca="false">IF(D181="","Missing",IF(COUNTIF($D$2:$D$207,D181)&gt;1,"Duplicate",IF(AND(LEN(D181)-LEN(SUBSTITUTE(D181,"@",""))=1,ISNUMBER(SEARCH(".",D181,SEARCH("@",D181))),ISERROR(SEARCH(" ",D181))),"Valid","Invalid")))</f>
        <v>Valid</v>
      </c>
      <c r="R181" s="43" t="str">
        <f aca="false">IF(E181="","Missing",IF(COUNTIF($E$2:$E$207,E181)&gt;1,"Duplicate",IF(AND(LEN(E181)=16,LEFT(E181,5)="+63 9"),"Valid","Check")))</f>
        <v>Valid</v>
      </c>
      <c r="S181" s="43" t="str">
        <f aca="false">IF(AND(Q181="Valid",R181="Valid",N181&lt;&gt;""),"Complete","Needs follow-up")</f>
        <v>Complete</v>
      </c>
      <c r="T181" s="44" t="s">
        <v>990</v>
      </c>
    </row>
    <row r="182" customFormat="false" ht="18.75" hidden="false" customHeight="true" outlineLevel="0" collapsed="false">
      <c r="A182" s="38" t="s">
        <v>991</v>
      </c>
      <c r="B182" s="39" t="s">
        <v>124</v>
      </c>
      <c r="C182" s="39" t="s">
        <v>309</v>
      </c>
      <c r="D182" s="39" t="s">
        <v>992</v>
      </c>
      <c r="E182" s="39" t="s">
        <v>993</v>
      </c>
      <c r="F182" s="39" t="s">
        <v>257</v>
      </c>
      <c r="G182" s="39" t="s">
        <v>81</v>
      </c>
      <c r="H182" s="39" t="s">
        <v>129</v>
      </c>
      <c r="I182" s="40" t="n">
        <v>46212</v>
      </c>
      <c r="J182" s="40" t="n">
        <v>46277</v>
      </c>
      <c r="K182" s="33" t="n">
        <v>2</v>
      </c>
      <c r="L182" s="34" t="n">
        <v>2590</v>
      </c>
      <c r="M182" s="41" t="n">
        <f aca="false">IFERROR(L182/K182,0)</f>
        <v>1295</v>
      </c>
      <c r="N182" s="39" t="s">
        <v>151</v>
      </c>
      <c r="O182" s="42" t="n">
        <f aca="false">IF(J182="","",AsOfDate-J182)</f>
        <v>18</v>
      </c>
      <c r="P182" s="43" t="str">
        <f aca="false">IF(A182="","",IF(AsOfDate-I182&lt;=90,"New",IF(AND(O182&lt;=180,L182&gt;=15000),"VIP",IF(O182&lt;=180,"Regular",IF(O182&lt;=365,"At risk","Lapsed")))))</f>
        <v>New</v>
      </c>
      <c r="Q182" s="43" t="str">
        <f aca="false">IF(D182="","Missing",IF(COUNTIF($D$2:$D$207,D182)&gt;1,"Duplicate",IF(AND(LEN(D182)-LEN(SUBSTITUTE(D182,"@",""))=1,ISNUMBER(SEARCH(".",D182,SEARCH("@",D182))),ISERROR(SEARCH(" ",D182))),"Valid","Invalid")))</f>
        <v>Valid</v>
      </c>
      <c r="R182" s="43" t="str">
        <f aca="false">IF(E182="","Missing",IF(COUNTIF($E$2:$E$207,E182)&gt;1,"Duplicate",IF(AND(LEN(E182)=16,LEFT(E182,5)="+63 9"),"Valid","Check")))</f>
        <v>Valid</v>
      </c>
      <c r="S182" s="43" t="str">
        <f aca="false">IF(AND(Q182="Valid",R182="Valid",N182&lt;&gt;""),"Complete","Needs follow-up")</f>
        <v>Complete</v>
      </c>
      <c r="T182" s="44" t="s">
        <v>994</v>
      </c>
    </row>
    <row r="183" customFormat="false" ht="18.75" hidden="false" customHeight="true" outlineLevel="0" collapsed="false">
      <c r="A183" s="38" t="s">
        <v>995</v>
      </c>
      <c r="B183" s="39" t="s">
        <v>513</v>
      </c>
      <c r="C183" s="39" t="s">
        <v>808</v>
      </c>
      <c r="D183" s="39" t="s">
        <v>996</v>
      </c>
      <c r="E183" s="39" t="s">
        <v>997</v>
      </c>
      <c r="F183" s="39" t="s">
        <v>128</v>
      </c>
      <c r="G183" s="39" t="s">
        <v>79</v>
      </c>
      <c r="H183" s="39" t="s">
        <v>121</v>
      </c>
      <c r="I183" s="40" t="n">
        <v>46216</v>
      </c>
      <c r="J183" s="40" t="n">
        <v>46216</v>
      </c>
      <c r="K183" s="33" t="n">
        <v>1</v>
      </c>
      <c r="L183" s="34" t="n">
        <v>890</v>
      </c>
      <c r="M183" s="41" t="n">
        <f aca="false">IFERROR(L183/K183,0)</f>
        <v>890</v>
      </c>
      <c r="N183" s="39" t="s">
        <v>151</v>
      </c>
      <c r="O183" s="42" t="n">
        <f aca="false">IF(J183="","",AsOfDate-J183)</f>
        <v>79</v>
      </c>
      <c r="P183" s="43" t="str">
        <f aca="false">IF(A183="","",IF(AsOfDate-I183&lt;=90,"New",IF(AND(O183&lt;=180,L183&gt;=15000),"VIP",IF(O183&lt;=180,"Regular",IF(O183&lt;=365,"At risk","Lapsed")))))</f>
        <v>New</v>
      </c>
      <c r="Q183" s="43" t="str">
        <f aca="false">IF(D183="","Missing",IF(COUNTIF($D$2:$D$207,D183)&gt;1,"Duplicate",IF(AND(LEN(D183)-LEN(SUBSTITUTE(D183,"@",""))=1,ISNUMBER(SEARCH(".",D183,SEARCH("@",D183))),ISERROR(SEARCH(" ",D183))),"Valid","Invalid")))</f>
        <v>Valid</v>
      </c>
      <c r="R183" s="43" t="str">
        <f aca="false">IF(E183="","Missing",IF(COUNTIF($E$2:$E$207,E183)&gt;1,"Duplicate",IF(AND(LEN(E183)=16,LEFT(E183,5)="+63 9"),"Valid","Check")))</f>
        <v>Valid</v>
      </c>
      <c r="S183" s="43" t="str">
        <f aca="false">IF(AND(Q183="Valid",R183="Valid",N183&lt;&gt;""),"Complete","Needs follow-up")</f>
        <v>Complete</v>
      </c>
      <c r="T183" s="44" t="s">
        <v>998</v>
      </c>
    </row>
    <row r="184" customFormat="false" ht="18.75" hidden="false" customHeight="true" outlineLevel="0" collapsed="false">
      <c r="A184" s="38" t="s">
        <v>999</v>
      </c>
      <c r="B184" s="39" t="s">
        <v>140</v>
      </c>
      <c r="C184" s="39" t="s">
        <v>179</v>
      </c>
      <c r="D184" s="39" t="s">
        <v>1000</v>
      </c>
      <c r="E184" s="39" t="s">
        <v>1001</v>
      </c>
      <c r="F184" s="39" t="s">
        <v>217</v>
      </c>
      <c r="G184" s="39" t="s">
        <v>79</v>
      </c>
      <c r="H184" s="39" t="s">
        <v>164</v>
      </c>
      <c r="I184" s="40" t="n">
        <v>46221</v>
      </c>
      <c r="J184" s="40" t="n">
        <v>46221</v>
      </c>
      <c r="K184" s="33" t="n">
        <v>1</v>
      </c>
      <c r="L184" s="34" t="n">
        <v>1500</v>
      </c>
      <c r="M184" s="41" t="n">
        <f aca="false">IFERROR(L184/K184,0)</f>
        <v>1500</v>
      </c>
      <c r="N184" s="39" t="s">
        <v>130</v>
      </c>
      <c r="O184" s="42" t="n">
        <f aca="false">IF(J184="","",AsOfDate-J184)</f>
        <v>74</v>
      </c>
      <c r="P184" s="43" t="str">
        <f aca="false">IF(A184="","",IF(AsOfDate-I184&lt;=90,"New",IF(AND(O184&lt;=180,L184&gt;=15000),"VIP",IF(O184&lt;=180,"Regular",IF(O184&lt;=365,"At risk","Lapsed")))))</f>
        <v>New</v>
      </c>
      <c r="Q184" s="43" t="str">
        <f aca="false">IF(D184="","Missing",IF(COUNTIF($D$2:$D$207,D184)&gt;1,"Duplicate",IF(AND(LEN(D184)-LEN(SUBSTITUTE(D184,"@",""))=1,ISNUMBER(SEARCH(".",D184,SEARCH("@",D184))),ISERROR(SEARCH(" ",D184))),"Valid","Invalid")))</f>
        <v>Valid</v>
      </c>
      <c r="R184" s="43" t="str">
        <f aca="false">IF(E184="","Missing",IF(COUNTIF($E$2:$E$207,E184)&gt;1,"Duplicate",IF(AND(LEN(E184)=16,LEFT(E184,5)="+63 9"),"Valid","Check")))</f>
        <v>Valid</v>
      </c>
      <c r="S184" s="43" t="str">
        <f aca="false">IF(AND(Q184="Valid",R184="Valid",N184&lt;&gt;""),"Complete","Needs follow-up")</f>
        <v>Complete</v>
      </c>
      <c r="T184" s="44" t="s">
        <v>1002</v>
      </c>
    </row>
    <row r="185" customFormat="false" ht="18.75" hidden="false" customHeight="true" outlineLevel="0" collapsed="false">
      <c r="A185" s="38" t="s">
        <v>1003</v>
      </c>
      <c r="B185" s="39" t="s">
        <v>400</v>
      </c>
      <c r="C185" s="39" t="s">
        <v>528</v>
      </c>
      <c r="D185" s="39" t="s">
        <v>1004</v>
      </c>
      <c r="E185" s="39" t="s">
        <v>1005</v>
      </c>
      <c r="F185" s="39" t="s">
        <v>128</v>
      </c>
      <c r="G185" s="39" t="s">
        <v>79</v>
      </c>
      <c r="H185" s="39" t="s">
        <v>121</v>
      </c>
      <c r="I185" s="40" t="n">
        <v>46228</v>
      </c>
      <c r="J185" s="40" t="n">
        <v>46228</v>
      </c>
      <c r="K185" s="33" t="n">
        <v>1</v>
      </c>
      <c r="L185" s="34" t="n">
        <v>1330</v>
      </c>
      <c r="M185" s="41" t="n">
        <f aca="false">IFERROR(L185/K185,0)</f>
        <v>1330</v>
      </c>
      <c r="N185" s="39" t="s">
        <v>151</v>
      </c>
      <c r="O185" s="42" t="n">
        <f aca="false">IF(J185="","",AsOfDate-J185)</f>
        <v>67</v>
      </c>
      <c r="P185" s="43" t="str">
        <f aca="false">IF(A185="","",IF(AsOfDate-I185&lt;=90,"New",IF(AND(O185&lt;=180,L185&gt;=15000),"VIP",IF(O185&lt;=180,"Regular",IF(O185&lt;=365,"At risk","Lapsed")))))</f>
        <v>New</v>
      </c>
      <c r="Q185" s="43" t="str">
        <f aca="false">IF(D185="","Missing",IF(COUNTIF($D$2:$D$207,D185)&gt;1,"Duplicate",IF(AND(LEN(D185)-LEN(SUBSTITUTE(D185,"@",""))=1,ISNUMBER(SEARCH(".",D185,SEARCH("@",D185))),ISERROR(SEARCH(" ",D185))),"Valid","Invalid")))</f>
        <v>Valid</v>
      </c>
      <c r="R185" s="43" t="str">
        <f aca="false">IF(E185="","Missing",IF(COUNTIF($E$2:$E$207,E185)&gt;1,"Duplicate",IF(AND(LEN(E185)=16,LEFT(E185,5)="+63 9"),"Valid","Check")))</f>
        <v>Valid</v>
      </c>
      <c r="S185" s="43" t="str">
        <f aca="false">IF(AND(Q185="Valid",R185="Valid",N185&lt;&gt;""),"Complete","Needs follow-up")</f>
        <v>Complete</v>
      </c>
      <c r="T185" s="44" t="s">
        <v>1006</v>
      </c>
    </row>
    <row r="186" customFormat="false" ht="18.75" hidden="false" customHeight="true" outlineLevel="0" collapsed="false">
      <c r="A186" s="38" t="s">
        <v>1007</v>
      </c>
      <c r="B186" s="39" t="s">
        <v>496</v>
      </c>
      <c r="C186" s="39" t="s">
        <v>254</v>
      </c>
      <c r="D186" s="39" t="s">
        <v>1008</v>
      </c>
      <c r="E186" s="39" t="s">
        <v>1009</v>
      </c>
      <c r="F186" s="39" t="s">
        <v>257</v>
      </c>
      <c r="G186" s="39" t="s">
        <v>81</v>
      </c>
      <c r="H186" s="39" t="s">
        <v>121</v>
      </c>
      <c r="I186" s="40" t="n">
        <v>46228</v>
      </c>
      <c r="J186" s="40" t="n">
        <v>46259</v>
      </c>
      <c r="K186" s="33" t="n">
        <v>2</v>
      </c>
      <c r="L186" s="34" t="n">
        <v>2100</v>
      </c>
      <c r="M186" s="41" t="n">
        <f aca="false">IFERROR(L186/K186,0)</f>
        <v>1050</v>
      </c>
      <c r="N186" s="39" t="s">
        <v>151</v>
      </c>
      <c r="O186" s="42" t="n">
        <f aca="false">IF(J186="","",AsOfDate-J186)</f>
        <v>36</v>
      </c>
      <c r="P186" s="43" t="str">
        <f aca="false">IF(A186="","",IF(AsOfDate-I186&lt;=90,"New",IF(AND(O186&lt;=180,L186&gt;=15000),"VIP",IF(O186&lt;=180,"Regular",IF(O186&lt;=365,"At risk","Lapsed")))))</f>
        <v>New</v>
      </c>
      <c r="Q186" s="43" t="str">
        <f aca="false">IF(D186="","Missing",IF(COUNTIF($D$2:$D$207,D186)&gt;1,"Duplicate",IF(AND(LEN(D186)-LEN(SUBSTITUTE(D186,"@",""))=1,ISNUMBER(SEARCH(".",D186,SEARCH("@",D186))),ISERROR(SEARCH(" ",D186))),"Valid","Invalid")))</f>
        <v>Valid</v>
      </c>
      <c r="R186" s="43" t="str">
        <f aca="false">IF(E186="","Missing",IF(COUNTIF($E$2:$E$207,E186)&gt;1,"Duplicate",IF(AND(LEN(E186)=16,LEFT(E186,5)="+63 9"),"Valid","Check")))</f>
        <v>Valid</v>
      </c>
      <c r="S186" s="43" t="str">
        <f aca="false">IF(AND(Q186="Valid",R186="Valid",N186&lt;&gt;""),"Complete","Needs follow-up")</f>
        <v>Complete</v>
      </c>
      <c r="T186" s="44" t="s">
        <v>1010</v>
      </c>
    </row>
    <row r="187" customFormat="false" ht="18.75" hidden="false" customHeight="true" outlineLevel="0" collapsed="false">
      <c r="A187" s="38" t="s">
        <v>1011</v>
      </c>
      <c r="B187" s="39" t="s">
        <v>315</v>
      </c>
      <c r="C187" s="39" t="s">
        <v>288</v>
      </c>
      <c r="D187" s="39" t="s">
        <v>1012</v>
      </c>
      <c r="E187" s="39" t="s">
        <v>1013</v>
      </c>
      <c r="F187" s="39" t="s">
        <v>128</v>
      </c>
      <c r="G187" s="39" t="s">
        <v>79</v>
      </c>
      <c r="H187" s="39" t="s">
        <v>129</v>
      </c>
      <c r="I187" s="40" t="n">
        <v>46231</v>
      </c>
      <c r="J187" s="40" t="n">
        <v>46277</v>
      </c>
      <c r="K187" s="33" t="n">
        <v>2</v>
      </c>
      <c r="L187" s="34" t="n">
        <v>2890</v>
      </c>
      <c r="M187" s="41" t="n">
        <f aca="false">IFERROR(L187/K187,0)</f>
        <v>1445</v>
      </c>
      <c r="N187" s="39" t="s">
        <v>151</v>
      </c>
      <c r="O187" s="42" t="n">
        <f aca="false">IF(J187="","",AsOfDate-J187)</f>
        <v>18</v>
      </c>
      <c r="P187" s="43" t="str">
        <f aca="false">IF(A187="","",IF(AsOfDate-I187&lt;=90,"New",IF(AND(O187&lt;=180,L187&gt;=15000),"VIP",IF(O187&lt;=180,"Regular",IF(O187&lt;=365,"At risk","Lapsed")))))</f>
        <v>New</v>
      </c>
      <c r="Q187" s="43" t="str">
        <f aca="false">IF(D187="","Missing",IF(COUNTIF($D$2:$D$207,D187)&gt;1,"Duplicate",IF(AND(LEN(D187)-LEN(SUBSTITUTE(D187,"@",""))=1,ISNUMBER(SEARCH(".",D187,SEARCH("@",D187))),ISERROR(SEARCH(" ",D187))),"Valid","Invalid")))</f>
        <v>Valid</v>
      </c>
      <c r="R187" s="43" t="str">
        <f aca="false">IF(E187="","Missing",IF(COUNTIF($E$2:$E$207,E187)&gt;1,"Duplicate",IF(AND(LEN(E187)=16,LEFT(E187,5)="+63 9"),"Valid","Check")))</f>
        <v>Valid</v>
      </c>
      <c r="S187" s="43" t="str">
        <f aca="false">IF(AND(Q187="Valid",R187="Valid",N187&lt;&gt;""),"Complete","Needs follow-up")</f>
        <v>Complete</v>
      </c>
      <c r="T187" s="44" t="s">
        <v>1014</v>
      </c>
    </row>
    <row r="188" customFormat="false" ht="18.75" hidden="false" customHeight="true" outlineLevel="0" collapsed="false">
      <c r="A188" s="38" t="s">
        <v>1015</v>
      </c>
      <c r="B188" s="39" t="s">
        <v>360</v>
      </c>
      <c r="C188" s="39" t="s">
        <v>267</v>
      </c>
      <c r="D188" s="39" t="s">
        <v>1016</v>
      </c>
      <c r="E188" s="39" t="s">
        <v>1017</v>
      </c>
      <c r="F188" s="39" t="s">
        <v>120</v>
      </c>
      <c r="G188" s="39" t="s">
        <v>80</v>
      </c>
      <c r="H188" s="39" t="s">
        <v>164</v>
      </c>
      <c r="I188" s="40" t="n">
        <v>46234</v>
      </c>
      <c r="J188" s="40" t="n">
        <v>46259</v>
      </c>
      <c r="K188" s="33" t="n">
        <v>2</v>
      </c>
      <c r="L188" s="34" t="n">
        <v>2690</v>
      </c>
      <c r="M188" s="41" t="n">
        <f aca="false">IFERROR(L188/K188,0)</f>
        <v>1345</v>
      </c>
      <c r="N188" s="39" t="s">
        <v>130</v>
      </c>
      <c r="O188" s="42" t="n">
        <f aca="false">IF(J188="","",AsOfDate-J188)</f>
        <v>36</v>
      </c>
      <c r="P188" s="43" t="str">
        <f aca="false">IF(A188="","",IF(AsOfDate-I188&lt;=90,"New",IF(AND(O188&lt;=180,L188&gt;=15000),"VIP",IF(O188&lt;=180,"Regular",IF(O188&lt;=365,"At risk","Lapsed")))))</f>
        <v>New</v>
      </c>
      <c r="Q188" s="43" t="str">
        <f aca="false">IF(D188="","Missing",IF(COUNTIF($D$2:$D$207,D188)&gt;1,"Duplicate",IF(AND(LEN(D188)-LEN(SUBSTITUTE(D188,"@",""))=1,ISNUMBER(SEARCH(".",D188,SEARCH("@",D188))),ISERROR(SEARCH(" ",D188))),"Valid","Invalid")))</f>
        <v>Valid</v>
      </c>
      <c r="R188" s="43" t="str">
        <f aca="false">IF(E188="","Missing",IF(COUNTIF($E$2:$E$207,E188)&gt;1,"Duplicate",IF(AND(LEN(E188)=16,LEFT(E188,5)="+63 9"),"Valid","Check")))</f>
        <v>Valid</v>
      </c>
      <c r="S188" s="43" t="str">
        <f aca="false">IF(AND(Q188="Valid",R188="Valid",N188&lt;&gt;""),"Complete","Needs follow-up")</f>
        <v>Complete</v>
      </c>
      <c r="T188" s="44" t="s">
        <v>1018</v>
      </c>
    </row>
    <row r="189" customFormat="false" ht="18.75" hidden="false" customHeight="true" outlineLevel="0" collapsed="false">
      <c r="A189" s="38" t="s">
        <v>1019</v>
      </c>
      <c r="B189" s="39" t="s">
        <v>253</v>
      </c>
      <c r="C189" s="39" t="s">
        <v>746</v>
      </c>
      <c r="D189" s="39" t="s">
        <v>1020</v>
      </c>
      <c r="E189" s="39" t="s">
        <v>1021</v>
      </c>
      <c r="F189" s="39" t="s">
        <v>120</v>
      </c>
      <c r="G189" s="39" t="s">
        <v>80</v>
      </c>
      <c r="H189" s="39" t="s">
        <v>129</v>
      </c>
      <c r="I189" s="40" t="n">
        <v>46234</v>
      </c>
      <c r="J189" s="40" t="n">
        <v>46234</v>
      </c>
      <c r="K189" s="33" t="n">
        <v>1</v>
      </c>
      <c r="L189" s="34" t="n">
        <v>880</v>
      </c>
      <c r="M189" s="41" t="n">
        <f aca="false">IFERROR(L189/K189,0)</f>
        <v>880</v>
      </c>
      <c r="N189" s="39" t="s">
        <v>151</v>
      </c>
      <c r="O189" s="42" t="n">
        <f aca="false">IF(J189="","",AsOfDate-J189)</f>
        <v>61</v>
      </c>
      <c r="P189" s="43" t="str">
        <f aca="false">IF(A189="","",IF(AsOfDate-I189&lt;=90,"New",IF(AND(O189&lt;=180,L189&gt;=15000),"VIP",IF(O189&lt;=180,"Regular",IF(O189&lt;=365,"At risk","Lapsed")))))</f>
        <v>New</v>
      </c>
      <c r="Q189" s="43" t="str">
        <f aca="false">IF(D189="","Missing",IF(COUNTIF($D$2:$D$207,D189)&gt;1,"Duplicate",IF(AND(LEN(D189)-LEN(SUBSTITUTE(D189,"@",""))=1,ISNUMBER(SEARCH(".",D189,SEARCH("@",D189))),ISERROR(SEARCH(" ",D189))),"Valid","Invalid")))</f>
        <v>Valid</v>
      </c>
      <c r="R189" s="43" t="str">
        <f aca="false">IF(E189="","Missing",IF(COUNTIF($E$2:$E$207,E189)&gt;1,"Duplicate",IF(AND(LEN(E189)=16,LEFT(E189,5)="+63 9"),"Valid","Check")))</f>
        <v>Valid</v>
      </c>
      <c r="S189" s="43" t="str">
        <f aca="false">IF(AND(Q189="Valid",R189="Valid",N189&lt;&gt;""),"Complete","Needs follow-up")</f>
        <v>Complete</v>
      </c>
      <c r="T189" s="44" t="s">
        <v>1022</v>
      </c>
    </row>
    <row r="190" customFormat="false" ht="18.75" hidden="false" customHeight="true" outlineLevel="0" collapsed="false">
      <c r="A190" s="38" t="s">
        <v>1023</v>
      </c>
      <c r="B190" s="39" t="s">
        <v>333</v>
      </c>
      <c r="C190" s="39" t="s">
        <v>304</v>
      </c>
      <c r="D190" s="39"/>
      <c r="E190" s="39" t="s">
        <v>1024</v>
      </c>
      <c r="F190" s="39" t="s">
        <v>150</v>
      </c>
      <c r="G190" s="39" t="s">
        <v>80</v>
      </c>
      <c r="H190" s="39" t="s">
        <v>121</v>
      </c>
      <c r="I190" s="40" t="n">
        <v>46239</v>
      </c>
      <c r="J190" s="40" t="n">
        <v>46276</v>
      </c>
      <c r="K190" s="33" t="n">
        <v>2</v>
      </c>
      <c r="L190" s="34" t="n">
        <v>3400</v>
      </c>
      <c r="M190" s="41" t="n">
        <f aca="false">IFERROR(L190/K190,0)</f>
        <v>1700</v>
      </c>
      <c r="N190" s="39" t="s">
        <v>151</v>
      </c>
      <c r="O190" s="42" t="n">
        <f aca="false">IF(J190="","",AsOfDate-J190)</f>
        <v>19</v>
      </c>
      <c r="P190" s="43" t="str">
        <f aca="false">IF(A190="","",IF(AsOfDate-I190&lt;=90,"New",IF(AND(O190&lt;=180,L190&gt;=15000),"VIP",IF(O190&lt;=180,"Regular",IF(O190&lt;=365,"At risk","Lapsed")))))</f>
        <v>New</v>
      </c>
      <c r="Q190" s="43" t="str">
        <f aca="false">IF(D190="","Missing",IF(COUNTIF($D$2:$D$207,D190)&gt;1,"Duplicate",IF(AND(LEN(D190)-LEN(SUBSTITUTE(D190,"@",""))=1,ISNUMBER(SEARCH(".",D190,SEARCH("@",D190))),ISERROR(SEARCH(" ",D190))),"Valid","Invalid")))</f>
        <v>Missing</v>
      </c>
      <c r="R190" s="43" t="str">
        <f aca="false">IF(E190="","Missing",IF(COUNTIF($E$2:$E$207,E190)&gt;1,"Duplicate",IF(AND(LEN(E190)=16,LEFT(E190,5)="+63 9"),"Valid","Check")))</f>
        <v>Valid</v>
      </c>
      <c r="S190" s="43" t="str">
        <f aca="false">IF(AND(Q190="Valid",R190="Valid",N190&lt;&gt;""),"Complete","Needs follow-up")</f>
        <v>Needs follow-up</v>
      </c>
      <c r="T190" s="44" t="s">
        <v>1025</v>
      </c>
    </row>
    <row r="191" customFormat="false" ht="18.75" hidden="false" customHeight="true" outlineLevel="0" collapsed="false">
      <c r="A191" s="38" t="s">
        <v>1026</v>
      </c>
      <c r="B191" s="39" t="s">
        <v>338</v>
      </c>
      <c r="C191" s="39" t="s">
        <v>125</v>
      </c>
      <c r="D191" s="39" t="s">
        <v>1027</v>
      </c>
      <c r="E191" s="39" t="s">
        <v>1028</v>
      </c>
      <c r="F191" s="39" t="s">
        <v>128</v>
      </c>
      <c r="G191" s="39" t="s">
        <v>79</v>
      </c>
      <c r="H191" s="39" t="s">
        <v>164</v>
      </c>
      <c r="I191" s="40" t="n">
        <v>46242</v>
      </c>
      <c r="J191" s="40" t="n">
        <v>46287</v>
      </c>
      <c r="K191" s="33" t="n">
        <v>3</v>
      </c>
      <c r="L191" s="34" t="n">
        <v>3360</v>
      </c>
      <c r="M191" s="41" t="n">
        <f aca="false">IFERROR(L191/K191,0)</f>
        <v>1120</v>
      </c>
      <c r="N191" s="39" t="s">
        <v>130</v>
      </c>
      <c r="O191" s="42" t="n">
        <f aca="false">IF(J191="","",AsOfDate-J191)</f>
        <v>8</v>
      </c>
      <c r="P191" s="43" t="str">
        <f aca="false">IF(A191="","",IF(AsOfDate-I191&lt;=90,"New",IF(AND(O191&lt;=180,L191&gt;=15000),"VIP",IF(O191&lt;=180,"Regular",IF(O191&lt;=365,"At risk","Lapsed")))))</f>
        <v>New</v>
      </c>
      <c r="Q191" s="43" t="str">
        <f aca="false">IF(D191="","Missing",IF(COUNTIF($D$2:$D$207,D191)&gt;1,"Duplicate",IF(AND(LEN(D191)-LEN(SUBSTITUTE(D191,"@",""))=1,ISNUMBER(SEARCH(".",D191,SEARCH("@",D191))),ISERROR(SEARCH(" ",D191))),"Valid","Invalid")))</f>
        <v>Valid</v>
      </c>
      <c r="R191" s="43" t="str">
        <f aca="false">IF(E191="","Missing",IF(COUNTIF($E$2:$E$207,E191)&gt;1,"Duplicate",IF(AND(LEN(E191)=16,LEFT(E191,5)="+63 9"),"Valid","Check")))</f>
        <v>Valid</v>
      </c>
      <c r="S191" s="43" t="str">
        <f aca="false">IF(AND(Q191="Valid",R191="Valid",N191&lt;&gt;""),"Complete","Needs follow-up")</f>
        <v>Complete</v>
      </c>
      <c r="T191" s="44" t="s">
        <v>1029</v>
      </c>
    </row>
    <row r="192" customFormat="false" ht="18.75" hidden="false" customHeight="true" outlineLevel="0" collapsed="false">
      <c r="A192" s="38" t="s">
        <v>1030</v>
      </c>
      <c r="B192" s="39" t="s">
        <v>303</v>
      </c>
      <c r="C192" s="39" t="s">
        <v>328</v>
      </c>
      <c r="D192" s="39" t="s">
        <v>1031</v>
      </c>
      <c r="E192" s="39" t="s">
        <v>1032</v>
      </c>
      <c r="F192" s="39" t="s">
        <v>128</v>
      </c>
      <c r="G192" s="39" t="s">
        <v>79</v>
      </c>
      <c r="H192" s="39" t="s">
        <v>164</v>
      </c>
      <c r="I192" s="40" t="n">
        <v>46244</v>
      </c>
      <c r="J192" s="40" t="n">
        <v>46244</v>
      </c>
      <c r="K192" s="33" t="n">
        <v>1</v>
      </c>
      <c r="L192" s="34" t="n">
        <v>1610</v>
      </c>
      <c r="M192" s="41" t="n">
        <f aca="false">IFERROR(L192/K192,0)</f>
        <v>1610</v>
      </c>
      <c r="N192" s="39" t="s">
        <v>130</v>
      </c>
      <c r="O192" s="42" t="n">
        <f aca="false">IF(J192="","",AsOfDate-J192)</f>
        <v>51</v>
      </c>
      <c r="P192" s="43" t="str">
        <f aca="false">IF(A192="","",IF(AsOfDate-I192&lt;=90,"New",IF(AND(O192&lt;=180,L192&gt;=15000),"VIP",IF(O192&lt;=180,"Regular",IF(O192&lt;=365,"At risk","Lapsed")))))</f>
        <v>New</v>
      </c>
      <c r="Q192" s="43" t="str">
        <f aca="false">IF(D192="","Missing",IF(COUNTIF($D$2:$D$207,D192)&gt;1,"Duplicate",IF(AND(LEN(D192)-LEN(SUBSTITUTE(D192,"@",""))=1,ISNUMBER(SEARCH(".",D192,SEARCH("@",D192))),ISERROR(SEARCH(" ",D192))),"Valid","Invalid")))</f>
        <v>Valid</v>
      </c>
      <c r="R192" s="43" t="str">
        <f aca="false">IF(E192="","Missing",IF(COUNTIF($E$2:$E$207,E192)&gt;1,"Duplicate",IF(AND(LEN(E192)=16,LEFT(E192,5)="+63 9"),"Valid","Check")))</f>
        <v>Valid</v>
      </c>
      <c r="S192" s="43" t="str">
        <f aca="false">IF(AND(Q192="Valid",R192="Valid",N192&lt;&gt;""),"Complete","Needs follow-up")</f>
        <v>Complete</v>
      </c>
      <c r="T192" s="44" t="s">
        <v>1033</v>
      </c>
    </row>
    <row r="193" customFormat="false" ht="18.75" hidden="false" customHeight="true" outlineLevel="0" collapsed="false">
      <c r="A193" s="38" t="s">
        <v>1034</v>
      </c>
      <c r="B193" s="39" t="s">
        <v>722</v>
      </c>
      <c r="C193" s="39" t="s">
        <v>343</v>
      </c>
      <c r="D193" s="39" t="s">
        <v>1035</v>
      </c>
      <c r="E193" s="39" t="s">
        <v>1036</v>
      </c>
      <c r="F193" s="39" t="s">
        <v>128</v>
      </c>
      <c r="G193" s="39" t="s">
        <v>79</v>
      </c>
      <c r="H193" s="39" t="s">
        <v>312</v>
      </c>
      <c r="I193" s="40" t="n">
        <v>46246</v>
      </c>
      <c r="J193" s="40" t="n">
        <v>46259</v>
      </c>
      <c r="K193" s="33" t="n">
        <v>3</v>
      </c>
      <c r="L193" s="34" t="n">
        <v>4310</v>
      </c>
      <c r="M193" s="41" t="n">
        <f aca="false">IFERROR(L193/K193,0)</f>
        <v>1436.66666666667</v>
      </c>
      <c r="N193" s="39" t="s">
        <v>151</v>
      </c>
      <c r="O193" s="42" t="n">
        <f aca="false">IF(J193="","",AsOfDate-J193)</f>
        <v>36</v>
      </c>
      <c r="P193" s="43" t="str">
        <f aca="false">IF(A193="","",IF(AsOfDate-I193&lt;=90,"New",IF(AND(O193&lt;=180,L193&gt;=15000),"VIP",IF(O193&lt;=180,"Regular",IF(O193&lt;=365,"At risk","Lapsed")))))</f>
        <v>New</v>
      </c>
      <c r="Q193" s="43" t="str">
        <f aca="false">IF(D193="","Missing",IF(COUNTIF($D$2:$D$207,D193)&gt;1,"Duplicate",IF(AND(LEN(D193)-LEN(SUBSTITUTE(D193,"@",""))=1,ISNUMBER(SEARCH(".",D193,SEARCH("@",D193))),ISERROR(SEARCH(" ",D193))),"Valid","Invalid")))</f>
        <v>Valid</v>
      </c>
      <c r="R193" s="43" t="str">
        <f aca="false">IF(E193="","Missing",IF(COUNTIF($E$2:$E$207,E193)&gt;1,"Duplicate",IF(AND(LEN(E193)=16,LEFT(E193,5)="+63 9"),"Valid","Check")))</f>
        <v>Valid</v>
      </c>
      <c r="S193" s="43" t="str">
        <f aca="false">IF(AND(Q193="Valid",R193="Valid",N193&lt;&gt;""),"Complete","Needs follow-up")</f>
        <v>Complete</v>
      </c>
      <c r="T193" s="44" t="s">
        <v>1037</v>
      </c>
    </row>
    <row r="194" customFormat="false" ht="18.75" hidden="false" customHeight="true" outlineLevel="0" collapsed="false">
      <c r="A194" s="38" t="s">
        <v>1038</v>
      </c>
      <c r="B194" s="39" t="s">
        <v>214</v>
      </c>
      <c r="C194" s="39" t="s">
        <v>243</v>
      </c>
      <c r="D194" s="39" t="s">
        <v>1039</v>
      </c>
      <c r="E194" s="39" t="s">
        <v>1040</v>
      </c>
      <c r="F194" s="39" t="s">
        <v>128</v>
      </c>
      <c r="G194" s="39" t="s">
        <v>79</v>
      </c>
      <c r="H194" s="39" t="s">
        <v>312</v>
      </c>
      <c r="I194" s="40" t="n">
        <v>46251</v>
      </c>
      <c r="J194" s="40" t="n">
        <v>46266</v>
      </c>
      <c r="K194" s="33" t="n">
        <v>2</v>
      </c>
      <c r="L194" s="34" t="n">
        <v>1540</v>
      </c>
      <c r="M194" s="41" t="n">
        <f aca="false">IFERROR(L194/K194,0)</f>
        <v>770</v>
      </c>
      <c r="N194" s="39" t="s">
        <v>130</v>
      </c>
      <c r="O194" s="42" t="n">
        <f aca="false">IF(J194="","",AsOfDate-J194)</f>
        <v>29</v>
      </c>
      <c r="P194" s="43" t="str">
        <f aca="false">IF(A194="","",IF(AsOfDate-I194&lt;=90,"New",IF(AND(O194&lt;=180,L194&gt;=15000),"VIP",IF(O194&lt;=180,"Regular",IF(O194&lt;=365,"At risk","Lapsed")))))</f>
        <v>New</v>
      </c>
      <c r="Q194" s="43" t="str">
        <f aca="false">IF(D194="","Missing",IF(COUNTIF($D$2:$D$207,D194)&gt;1,"Duplicate",IF(AND(LEN(D194)-LEN(SUBSTITUTE(D194,"@",""))=1,ISNUMBER(SEARCH(".",D194,SEARCH("@",D194))),ISERROR(SEARCH(" ",D194))),"Valid","Invalid")))</f>
        <v>Valid</v>
      </c>
      <c r="R194" s="43" t="str">
        <f aca="false">IF(E194="","Missing",IF(COUNTIF($E$2:$E$207,E194)&gt;1,"Duplicate",IF(AND(LEN(E194)=16,LEFT(E194,5)="+63 9"),"Valid","Check")))</f>
        <v>Valid</v>
      </c>
      <c r="S194" s="43" t="str">
        <f aca="false">IF(AND(Q194="Valid",R194="Valid",N194&lt;&gt;""),"Complete","Needs follow-up")</f>
        <v>Complete</v>
      </c>
      <c r="T194" s="44" t="s">
        <v>1041</v>
      </c>
    </row>
    <row r="195" customFormat="false" ht="18.75" hidden="false" customHeight="true" outlineLevel="0" collapsed="false">
      <c r="A195" s="38" t="s">
        <v>1042</v>
      </c>
      <c r="B195" s="39" t="s">
        <v>1043</v>
      </c>
      <c r="C195" s="39" t="s">
        <v>533</v>
      </c>
      <c r="D195" s="39" t="s">
        <v>1044</v>
      </c>
      <c r="E195" s="39" t="s">
        <v>1045</v>
      </c>
      <c r="F195" s="39" t="s">
        <v>128</v>
      </c>
      <c r="G195" s="39" t="s">
        <v>79</v>
      </c>
      <c r="H195" s="39" t="s">
        <v>121</v>
      </c>
      <c r="I195" s="40" t="n">
        <v>46254</v>
      </c>
      <c r="J195" s="40" t="n">
        <v>46254</v>
      </c>
      <c r="K195" s="33" t="n">
        <v>1</v>
      </c>
      <c r="L195" s="34" t="n">
        <v>970</v>
      </c>
      <c r="M195" s="41" t="n">
        <f aca="false">IFERROR(L195/K195,0)</f>
        <v>970</v>
      </c>
      <c r="N195" s="39" t="s">
        <v>151</v>
      </c>
      <c r="O195" s="42" t="n">
        <f aca="false">IF(J195="","",AsOfDate-J195)</f>
        <v>41</v>
      </c>
      <c r="P195" s="43" t="str">
        <f aca="false">IF(A195="","",IF(AsOfDate-I195&lt;=90,"New",IF(AND(O195&lt;=180,L195&gt;=15000),"VIP",IF(O195&lt;=180,"Regular",IF(O195&lt;=365,"At risk","Lapsed")))))</f>
        <v>New</v>
      </c>
      <c r="Q195" s="43" t="str">
        <f aca="false">IF(D195="","Missing",IF(COUNTIF($D$2:$D$207,D195)&gt;1,"Duplicate",IF(AND(LEN(D195)-LEN(SUBSTITUTE(D195,"@",""))=1,ISNUMBER(SEARCH(".",D195,SEARCH("@",D195))),ISERROR(SEARCH(" ",D195))),"Valid","Invalid")))</f>
        <v>Valid</v>
      </c>
      <c r="R195" s="43" t="str">
        <f aca="false">IF(E195="","Missing",IF(COUNTIF($E$2:$E$207,E195)&gt;1,"Duplicate",IF(AND(LEN(E195)=16,LEFT(E195,5)="+63 9"),"Valid","Check")))</f>
        <v>Valid</v>
      </c>
      <c r="S195" s="43" t="str">
        <f aca="false">IF(AND(Q195="Valid",R195="Valid",N195&lt;&gt;""),"Complete","Needs follow-up")</f>
        <v>Complete</v>
      </c>
      <c r="T195" s="44" t="s">
        <v>1046</v>
      </c>
    </row>
    <row r="196" customFormat="false" ht="18.75" hidden="false" customHeight="true" outlineLevel="0" collapsed="false">
      <c r="A196" s="38" t="s">
        <v>1047</v>
      </c>
      <c r="B196" s="39" t="s">
        <v>1048</v>
      </c>
      <c r="C196" s="39" t="s">
        <v>481</v>
      </c>
      <c r="D196" s="39" t="s">
        <v>1049</v>
      </c>
      <c r="E196" s="39" t="s">
        <v>1050</v>
      </c>
      <c r="F196" s="39" t="s">
        <v>128</v>
      </c>
      <c r="G196" s="39" t="s">
        <v>79</v>
      </c>
      <c r="H196" s="39" t="s">
        <v>121</v>
      </c>
      <c r="I196" s="40" t="n">
        <v>46254</v>
      </c>
      <c r="J196" s="40" t="n">
        <v>46269</v>
      </c>
      <c r="K196" s="33" t="n">
        <v>3</v>
      </c>
      <c r="L196" s="34" t="n">
        <v>2800</v>
      </c>
      <c r="M196" s="41" t="n">
        <f aca="false">IFERROR(L196/K196,0)</f>
        <v>933.333333333333</v>
      </c>
      <c r="N196" s="39" t="s">
        <v>151</v>
      </c>
      <c r="O196" s="42" t="n">
        <f aca="false">IF(J196="","",AsOfDate-J196)</f>
        <v>26</v>
      </c>
      <c r="P196" s="43" t="str">
        <f aca="false">IF(A196="","",IF(AsOfDate-I196&lt;=90,"New",IF(AND(O196&lt;=180,L196&gt;=15000),"VIP",IF(O196&lt;=180,"Regular",IF(O196&lt;=365,"At risk","Lapsed")))))</f>
        <v>New</v>
      </c>
      <c r="Q196" s="43" t="str">
        <f aca="false">IF(D196="","Missing",IF(COUNTIF($D$2:$D$207,D196)&gt;1,"Duplicate",IF(AND(LEN(D196)-LEN(SUBSTITUTE(D196,"@",""))=1,ISNUMBER(SEARCH(".",D196,SEARCH("@",D196))),ISERROR(SEARCH(" ",D196))),"Valid","Invalid")))</f>
        <v>Valid</v>
      </c>
      <c r="R196" s="43" t="str">
        <f aca="false">IF(E196="","Missing",IF(COUNTIF($E$2:$E$207,E196)&gt;1,"Duplicate",IF(AND(LEN(E196)=16,LEFT(E196,5)="+63 9"),"Valid","Check")))</f>
        <v>Valid</v>
      </c>
      <c r="S196" s="43" t="str">
        <f aca="false">IF(AND(Q196="Valid",R196="Valid",N196&lt;&gt;""),"Complete","Needs follow-up")</f>
        <v>Complete</v>
      </c>
      <c r="T196" s="44" t="s">
        <v>1051</v>
      </c>
    </row>
    <row r="197" customFormat="false" ht="18.75" hidden="false" customHeight="true" outlineLevel="0" collapsed="false">
      <c r="A197" s="38" t="s">
        <v>1052</v>
      </c>
      <c r="B197" s="39" t="s">
        <v>225</v>
      </c>
      <c r="C197" s="39" t="s">
        <v>267</v>
      </c>
      <c r="D197" s="39" t="s">
        <v>1053</v>
      </c>
      <c r="E197" s="39" t="s">
        <v>1054</v>
      </c>
      <c r="F197" s="39" t="s">
        <v>150</v>
      </c>
      <c r="G197" s="39" t="s">
        <v>80</v>
      </c>
      <c r="H197" s="39" t="s">
        <v>164</v>
      </c>
      <c r="I197" s="40" t="n">
        <v>46260</v>
      </c>
      <c r="J197" s="40" t="n">
        <v>46277</v>
      </c>
      <c r="K197" s="33" t="n">
        <v>3</v>
      </c>
      <c r="L197" s="34" t="n">
        <v>4240</v>
      </c>
      <c r="M197" s="41" t="n">
        <f aca="false">IFERROR(L197/K197,0)</f>
        <v>1413.33333333333</v>
      </c>
      <c r="N197" s="39" t="s">
        <v>130</v>
      </c>
      <c r="O197" s="42" t="n">
        <f aca="false">IF(J197="","",AsOfDate-J197)</f>
        <v>18</v>
      </c>
      <c r="P197" s="43" t="str">
        <f aca="false">IF(A197="","",IF(AsOfDate-I197&lt;=90,"New",IF(AND(O197&lt;=180,L197&gt;=15000),"VIP",IF(O197&lt;=180,"Regular",IF(O197&lt;=365,"At risk","Lapsed")))))</f>
        <v>New</v>
      </c>
      <c r="Q197" s="43" t="str">
        <f aca="false">IF(D197="","Missing",IF(COUNTIF($D$2:$D$207,D197)&gt;1,"Duplicate",IF(AND(LEN(D197)-LEN(SUBSTITUTE(D197,"@",""))=1,ISNUMBER(SEARCH(".",D197,SEARCH("@",D197))),ISERROR(SEARCH(" ",D197))),"Valid","Invalid")))</f>
        <v>Valid</v>
      </c>
      <c r="R197" s="43" t="str">
        <f aca="false">IF(E197="","Missing",IF(COUNTIF($E$2:$E$207,E197)&gt;1,"Duplicate",IF(AND(LEN(E197)=16,LEFT(E197,5)="+63 9"),"Valid","Check")))</f>
        <v>Valid</v>
      </c>
      <c r="S197" s="43" t="str">
        <f aca="false">IF(AND(Q197="Valid",R197="Valid",N197&lt;&gt;""),"Complete","Needs follow-up")</f>
        <v>Complete</v>
      </c>
      <c r="T197" s="44" t="s">
        <v>1055</v>
      </c>
    </row>
    <row r="198" customFormat="false" ht="18.75" hidden="false" customHeight="true" outlineLevel="0" collapsed="false">
      <c r="A198" s="38" t="s">
        <v>1056</v>
      </c>
      <c r="B198" s="39" t="s">
        <v>384</v>
      </c>
      <c r="C198" s="39" t="s">
        <v>634</v>
      </c>
      <c r="D198" s="39" t="s">
        <v>1057</v>
      </c>
      <c r="E198" s="39" t="s">
        <v>1058</v>
      </c>
      <c r="F198" s="39" t="s">
        <v>128</v>
      </c>
      <c r="G198" s="39" t="s">
        <v>79</v>
      </c>
      <c r="H198" s="39" t="s">
        <v>164</v>
      </c>
      <c r="I198" s="40" t="n">
        <v>46262</v>
      </c>
      <c r="J198" s="40" t="n">
        <v>46271</v>
      </c>
      <c r="K198" s="33" t="n">
        <v>3</v>
      </c>
      <c r="L198" s="34" t="n">
        <v>5300</v>
      </c>
      <c r="M198" s="41" t="n">
        <f aca="false">IFERROR(L198/K198,0)</f>
        <v>1766.66666666667</v>
      </c>
      <c r="N198" s="39" t="s">
        <v>151</v>
      </c>
      <c r="O198" s="42" t="n">
        <f aca="false">IF(J198="","",AsOfDate-J198)</f>
        <v>24</v>
      </c>
      <c r="P198" s="43" t="str">
        <f aca="false">IF(A198="","",IF(AsOfDate-I198&lt;=90,"New",IF(AND(O198&lt;=180,L198&gt;=15000),"VIP",IF(O198&lt;=180,"Regular",IF(O198&lt;=365,"At risk","Lapsed")))))</f>
        <v>New</v>
      </c>
      <c r="Q198" s="43" t="str">
        <f aca="false">IF(D198="","Missing",IF(COUNTIF($D$2:$D$207,D198)&gt;1,"Duplicate",IF(AND(LEN(D198)-LEN(SUBSTITUTE(D198,"@",""))=1,ISNUMBER(SEARCH(".",D198,SEARCH("@",D198))),ISERROR(SEARCH(" ",D198))),"Valid","Invalid")))</f>
        <v>Valid</v>
      </c>
      <c r="R198" s="43" t="str">
        <f aca="false">IF(E198="","Missing",IF(COUNTIF($E$2:$E$207,E198)&gt;1,"Duplicate",IF(AND(LEN(E198)=16,LEFT(E198,5)="+63 9"),"Valid","Check")))</f>
        <v>Valid</v>
      </c>
      <c r="S198" s="43" t="str">
        <f aca="false">IF(AND(Q198="Valid",R198="Valid",N198&lt;&gt;""),"Complete","Needs follow-up")</f>
        <v>Complete</v>
      </c>
      <c r="T198" s="44" t="s">
        <v>1059</v>
      </c>
    </row>
    <row r="199" customFormat="false" ht="18.75" hidden="false" customHeight="true" outlineLevel="0" collapsed="false">
      <c r="A199" s="38" t="s">
        <v>1060</v>
      </c>
      <c r="B199" s="39" t="s">
        <v>464</v>
      </c>
      <c r="C199" s="39" t="s">
        <v>1061</v>
      </c>
      <c r="D199" s="39" t="s">
        <v>1062</v>
      </c>
      <c r="E199" s="39" t="s">
        <v>1063</v>
      </c>
      <c r="F199" s="39" t="s">
        <v>120</v>
      </c>
      <c r="G199" s="39" t="s">
        <v>80</v>
      </c>
      <c r="H199" s="39" t="s">
        <v>121</v>
      </c>
      <c r="I199" s="40" t="n">
        <v>46264</v>
      </c>
      <c r="J199" s="40" t="n">
        <v>46264</v>
      </c>
      <c r="K199" s="33" t="n">
        <v>1</v>
      </c>
      <c r="L199" s="34" t="n">
        <v>1770</v>
      </c>
      <c r="M199" s="41" t="n">
        <f aca="false">IFERROR(L199/K199,0)</f>
        <v>1770</v>
      </c>
      <c r="N199" s="39" t="s">
        <v>151</v>
      </c>
      <c r="O199" s="42" t="n">
        <f aca="false">IF(J199="","",AsOfDate-J199)</f>
        <v>31</v>
      </c>
      <c r="P199" s="43" t="str">
        <f aca="false">IF(A199="","",IF(AsOfDate-I199&lt;=90,"New",IF(AND(O199&lt;=180,L199&gt;=15000),"VIP",IF(O199&lt;=180,"Regular",IF(O199&lt;=365,"At risk","Lapsed")))))</f>
        <v>New</v>
      </c>
      <c r="Q199" s="43" t="str">
        <f aca="false">IF(D199="","Missing",IF(COUNTIF($D$2:$D$207,D199)&gt;1,"Duplicate",IF(AND(LEN(D199)-LEN(SUBSTITUTE(D199,"@",""))=1,ISNUMBER(SEARCH(".",D199,SEARCH("@",D199))),ISERROR(SEARCH(" ",D199))),"Valid","Invalid")))</f>
        <v>Valid</v>
      </c>
      <c r="R199" s="43" t="str">
        <f aca="false">IF(E199="","Missing",IF(COUNTIF($E$2:$E$207,E199)&gt;1,"Duplicate",IF(AND(LEN(E199)=16,LEFT(E199,5)="+63 9"),"Valid","Check")))</f>
        <v>Valid</v>
      </c>
      <c r="S199" s="43" t="str">
        <f aca="false">IF(AND(Q199="Valid",R199="Valid",N199&lt;&gt;""),"Complete","Needs follow-up")</f>
        <v>Complete</v>
      </c>
      <c r="T199" s="44" t="s">
        <v>1064</v>
      </c>
    </row>
    <row r="200" customFormat="false" ht="18.75" hidden="false" customHeight="true" outlineLevel="0" collapsed="false">
      <c r="A200" s="38" t="s">
        <v>1065</v>
      </c>
      <c r="B200" s="39" t="s">
        <v>209</v>
      </c>
      <c r="C200" s="39" t="s">
        <v>261</v>
      </c>
      <c r="D200" s="39" t="s">
        <v>1066</v>
      </c>
      <c r="E200" s="39" t="s">
        <v>1067</v>
      </c>
      <c r="F200" s="39" t="s">
        <v>128</v>
      </c>
      <c r="G200" s="39" t="s">
        <v>79</v>
      </c>
      <c r="H200" s="39" t="s">
        <v>129</v>
      </c>
      <c r="I200" s="40" t="n">
        <v>46264</v>
      </c>
      <c r="J200" s="40" t="n">
        <v>46277</v>
      </c>
      <c r="K200" s="33" t="n">
        <v>3</v>
      </c>
      <c r="L200" s="34" t="n">
        <v>3360</v>
      </c>
      <c r="M200" s="41" t="n">
        <f aca="false">IFERROR(L200/K200,0)</f>
        <v>1120</v>
      </c>
      <c r="N200" s="39" t="s">
        <v>151</v>
      </c>
      <c r="O200" s="42" t="n">
        <f aca="false">IF(J200="","",AsOfDate-J200)</f>
        <v>18</v>
      </c>
      <c r="P200" s="43" t="str">
        <f aca="false">IF(A200="","",IF(AsOfDate-I200&lt;=90,"New",IF(AND(O200&lt;=180,L200&gt;=15000),"VIP",IF(O200&lt;=180,"Regular",IF(O200&lt;=365,"At risk","Lapsed")))))</f>
        <v>New</v>
      </c>
      <c r="Q200" s="43" t="str">
        <f aca="false">IF(D200="","Missing",IF(COUNTIF($D$2:$D$207,D200)&gt;1,"Duplicate",IF(AND(LEN(D200)-LEN(SUBSTITUTE(D200,"@",""))=1,ISNUMBER(SEARCH(".",D200,SEARCH("@",D200))),ISERROR(SEARCH(" ",D200))),"Valid","Invalid")))</f>
        <v>Valid</v>
      </c>
      <c r="R200" s="43" t="str">
        <f aca="false">IF(E200="","Missing",IF(COUNTIF($E$2:$E$207,E200)&gt;1,"Duplicate",IF(AND(LEN(E200)=16,LEFT(E200,5)="+63 9"),"Valid","Check")))</f>
        <v>Valid</v>
      </c>
      <c r="S200" s="43" t="str">
        <f aca="false">IF(AND(Q200="Valid",R200="Valid",N200&lt;&gt;""),"Complete","Needs follow-up")</f>
        <v>Complete</v>
      </c>
      <c r="T200" s="44" t="s">
        <v>1068</v>
      </c>
    </row>
    <row r="201" customFormat="false" ht="18.75" hidden="false" customHeight="true" outlineLevel="0" collapsed="false">
      <c r="A201" s="38" t="s">
        <v>1069</v>
      </c>
      <c r="B201" s="39" t="s">
        <v>496</v>
      </c>
      <c r="C201" s="39" t="s">
        <v>668</v>
      </c>
      <c r="D201" s="39" t="s">
        <v>1070</v>
      </c>
      <c r="E201" s="39" t="s">
        <v>1071</v>
      </c>
      <c r="F201" s="39" t="s">
        <v>170</v>
      </c>
      <c r="G201" s="39" t="s">
        <v>82</v>
      </c>
      <c r="H201" s="39" t="s">
        <v>164</v>
      </c>
      <c r="I201" s="40" t="n">
        <v>46266</v>
      </c>
      <c r="J201" s="40" t="n">
        <v>46266</v>
      </c>
      <c r="K201" s="33" t="n">
        <v>2</v>
      </c>
      <c r="L201" s="34" t="n">
        <v>1240</v>
      </c>
      <c r="M201" s="41" t="n">
        <f aca="false">IFERROR(L201/K201,0)</f>
        <v>620</v>
      </c>
      <c r="N201" s="39" t="s">
        <v>130</v>
      </c>
      <c r="O201" s="42" t="n">
        <f aca="false">IF(J201="","",AsOfDate-J201)</f>
        <v>29</v>
      </c>
      <c r="P201" s="43" t="str">
        <f aca="false">IF(A201="","",IF(AsOfDate-I201&lt;=90,"New",IF(AND(O201&lt;=180,L201&gt;=15000),"VIP",IF(O201&lt;=180,"Regular",IF(O201&lt;=365,"At risk","Lapsed")))))</f>
        <v>New</v>
      </c>
      <c r="Q201" s="43" t="str">
        <f aca="false">IF(D201="","Missing",IF(COUNTIF($D$2:$D$207,D201)&gt;1,"Duplicate",IF(AND(LEN(D201)-LEN(SUBSTITUTE(D201,"@",""))=1,ISNUMBER(SEARCH(".",D201,SEARCH("@",D201))),ISERROR(SEARCH(" ",D201))),"Valid","Invalid")))</f>
        <v>Valid</v>
      </c>
      <c r="R201" s="43" t="str">
        <f aca="false">IF(E201="","Missing",IF(COUNTIF($E$2:$E$207,E201)&gt;1,"Duplicate",IF(AND(LEN(E201)=16,LEFT(E201,5)="+63 9"),"Valid","Check")))</f>
        <v>Valid</v>
      </c>
      <c r="S201" s="43" t="str">
        <f aca="false">IF(AND(Q201="Valid",R201="Valid",N201&lt;&gt;""),"Complete","Needs follow-up")</f>
        <v>Complete</v>
      </c>
      <c r="T201" s="44" t="s">
        <v>1072</v>
      </c>
    </row>
    <row r="202" customFormat="false" ht="18.75" hidden="false" customHeight="true" outlineLevel="0" collapsed="false">
      <c r="A202" s="38" t="s">
        <v>1073</v>
      </c>
      <c r="B202" s="39" t="s">
        <v>327</v>
      </c>
      <c r="C202" s="39" t="s">
        <v>878</v>
      </c>
      <c r="D202" s="39" t="s">
        <v>1074</v>
      </c>
      <c r="E202" s="39" t="s">
        <v>1075</v>
      </c>
      <c r="F202" s="39" t="s">
        <v>128</v>
      </c>
      <c r="G202" s="39" t="s">
        <v>79</v>
      </c>
      <c r="H202" s="39" t="s">
        <v>285</v>
      </c>
      <c r="I202" s="40" t="n">
        <v>46269</v>
      </c>
      <c r="J202" s="40" t="n">
        <v>46272</v>
      </c>
      <c r="K202" s="33" t="n">
        <v>2</v>
      </c>
      <c r="L202" s="34" t="n">
        <v>1810</v>
      </c>
      <c r="M202" s="41" t="n">
        <f aca="false">IFERROR(L202/K202,0)</f>
        <v>905</v>
      </c>
      <c r="N202" s="39" t="s">
        <v>151</v>
      </c>
      <c r="O202" s="42" t="n">
        <f aca="false">IF(J202="","",AsOfDate-J202)</f>
        <v>23</v>
      </c>
      <c r="P202" s="43" t="str">
        <f aca="false">IF(A202="","",IF(AsOfDate-I202&lt;=90,"New",IF(AND(O202&lt;=180,L202&gt;=15000),"VIP",IF(O202&lt;=180,"Regular",IF(O202&lt;=365,"At risk","Lapsed")))))</f>
        <v>New</v>
      </c>
      <c r="Q202" s="43" t="str">
        <f aca="false">IF(D202="","Missing",IF(COUNTIF($D$2:$D$207,D202)&gt;1,"Duplicate",IF(AND(LEN(D202)-LEN(SUBSTITUTE(D202,"@",""))=1,ISNUMBER(SEARCH(".",D202,SEARCH("@",D202))),ISERROR(SEARCH(" ",D202))),"Valid","Invalid")))</f>
        <v>Valid</v>
      </c>
      <c r="R202" s="43" t="str">
        <f aca="false">IF(E202="","Missing",IF(COUNTIF($E$2:$E$207,E202)&gt;1,"Duplicate",IF(AND(LEN(E202)=16,LEFT(E202,5)="+63 9"),"Valid","Check")))</f>
        <v>Valid</v>
      </c>
      <c r="S202" s="43" t="str">
        <f aca="false">IF(AND(Q202="Valid",R202="Valid",N202&lt;&gt;""),"Complete","Needs follow-up")</f>
        <v>Complete</v>
      </c>
      <c r="T202" s="44" t="s">
        <v>1076</v>
      </c>
    </row>
    <row r="203" customFormat="false" ht="18.75" hidden="false" customHeight="true" outlineLevel="0" collapsed="false">
      <c r="A203" s="38" t="s">
        <v>1077</v>
      </c>
      <c r="B203" s="39" t="s">
        <v>333</v>
      </c>
      <c r="C203" s="39" t="s">
        <v>570</v>
      </c>
      <c r="D203" s="39" t="s">
        <v>1078</v>
      </c>
      <c r="E203" s="39" t="s">
        <v>1079</v>
      </c>
      <c r="F203" s="39" t="s">
        <v>120</v>
      </c>
      <c r="G203" s="39" t="s">
        <v>80</v>
      </c>
      <c r="H203" s="39" t="s">
        <v>121</v>
      </c>
      <c r="I203" s="40" t="n">
        <v>46270</v>
      </c>
      <c r="J203" s="40" t="n">
        <v>46274</v>
      </c>
      <c r="K203" s="33" t="n">
        <v>2</v>
      </c>
      <c r="L203" s="34" t="n">
        <v>3760</v>
      </c>
      <c r="M203" s="41" t="n">
        <f aca="false">IFERROR(L203/K203,0)</f>
        <v>1880</v>
      </c>
      <c r="N203" s="39" t="s">
        <v>151</v>
      </c>
      <c r="O203" s="42" t="n">
        <f aca="false">IF(J203="","",AsOfDate-J203)</f>
        <v>21</v>
      </c>
      <c r="P203" s="43" t="str">
        <f aca="false">IF(A203="","",IF(AsOfDate-I203&lt;=90,"New",IF(AND(O203&lt;=180,L203&gt;=15000),"VIP",IF(O203&lt;=180,"Regular",IF(O203&lt;=365,"At risk","Lapsed")))))</f>
        <v>New</v>
      </c>
      <c r="Q203" s="43" t="str">
        <f aca="false">IF(D203="","Missing",IF(COUNTIF($D$2:$D$207,D203)&gt;1,"Duplicate",IF(AND(LEN(D203)-LEN(SUBSTITUTE(D203,"@",""))=1,ISNUMBER(SEARCH(".",D203,SEARCH("@",D203))),ISERROR(SEARCH(" ",D203))),"Valid","Invalid")))</f>
        <v>Valid</v>
      </c>
      <c r="R203" s="43" t="str">
        <f aca="false">IF(E203="","Missing",IF(COUNTIF($E$2:$E$207,E203)&gt;1,"Duplicate",IF(AND(LEN(E203)=16,LEFT(E203,5)="+63 9"),"Valid","Check")))</f>
        <v>Valid</v>
      </c>
      <c r="S203" s="43" t="str">
        <f aca="false">IF(AND(Q203="Valid",R203="Valid",N203&lt;&gt;""),"Complete","Needs follow-up")</f>
        <v>Complete</v>
      </c>
      <c r="T203" s="44" t="s">
        <v>1080</v>
      </c>
    </row>
    <row r="204" customFormat="false" ht="18.75" hidden="false" customHeight="true" outlineLevel="0" collapsed="false">
      <c r="A204" s="38" t="s">
        <v>1081</v>
      </c>
      <c r="B204" s="39" t="s">
        <v>681</v>
      </c>
      <c r="C204" s="39" t="s">
        <v>553</v>
      </c>
      <c r="D204" s="39" t="s">
        <v>1082</v>
      </c>
      <c r="E204" s="39" t="s">
        <v>1083</v>
      </c>
      <c r="F204" s="39" t="s">
        <v>150</v>
      </c>
      <c r="G204" s="39" t="s">
        <v>80</v>
      </c>
      <c r="H204" s="39" t="s">
        <v>164</v>
      </c>
      <c r="I204" s="40" t="n">
        <v>46273</v>
      </c>
      <c r="J204" s="40" t="n">
        <v>46283</v>
      </c>
      <c r="K204" s="33" t="n">
        <v>2</v>
      </c>
      <c r="L204" s="34" t="n">
        <v>2540</v>
      </c>
      <c r="M204" s="41" t="n">
        <f aca="false">IFERROR(L204/K204,0)</f>
        <v>1270</v>
      </c>
      <c r="N204" s="39" t="s">
        <v>151</v>
      </c>
      <c r="O204" s="42" t="n">
        <f aca="false">IF(J204="","",AsOfDate-J204)</f>
        <v>12</v>
      </c>
      <c r="P204" s="43" t="str">
        <f aca="false">IF(A204="","",IF(AsOfDate-I204&lt;=90,"New",IF(AND(O204&lt;=180,L204&gt;=15000),"VIP",IF(O204&lt;=180,"Regular",IF(O204&lt;=365,"At risk","Lapsed")))))</f>
        <v>New</v>
      </c>
      <c r="Q204" s="43" t="str">
        <f aca="false">IF(D204="","Missing",IF(COUNTIF($D$2:$D$207,D204)&gt;1,"Duplicate",IF(AND(LEN(D204)-LEN(SUBSTITUTE(D204,"@",""))=1,ISNUMBER(SEARCH(".",D204,SEARCH("@",D204))),ISERROR(SEARCH(" ",D204))),"Valid","Invalid")))</f>
        <v>Valid</v>
      </c>
      <c r="R204" s="43" t="str">
        <f aca="false">IF(E204="","Missing",IF(COUNTIF($E$2:$E$207,E204)&gt;1,"Duplicate",IF(AND(LEN(E204)=16,LEFT(E204,5)="+63 9"),"Valid","Check")))</f>
        <v>Valid</v>
      </c>
      <c r="S204" s="43" t="str">
        <f aca="false">IF(AND(Q204="Valid",R204="Valid",N204&lt;&gt;""),"Complete","Needs follow-up")</f>
        <v>Complete</v>
      </c>
      <c r="T204" s="44" t="s">
        <v>1084</v>
      </c>
    </row>
    <row r="205" customFormat="false" ht="18.75" hidden="false" customHeight="true" outlineLevel="0" collapsed="false">
      <c r="A205" s="38" t="s">
        <v>1085</v>
      </c>
      <c r="B205" s="39" t="s">
        <v>681</v>
      </c>
      <c r="C205" s="39" t="s">
        <v>570</v>
      </c>
      <c r="D205" s="39" t="s">
        <v>1086</v>
      </c>
      <c r="E205" s="39" t="s">
        <v>1087</v>
      </c>
      <c r="F205" s="39" t="s">
        <v>170</v>
      </c>
      <c r="G205" s="39" t="s">
        <v>82</v>
      </c>
      <c r="H205" s="39" t="s">
        <v>164</v>
      </c>
      <c r="I205" s="40" t="n">
        <v>46274</v>
      </c>
      <c r="J205" s="40" t="n">
        <v>46278</v>
      </c>
      <c r="K205" s="33" t="n">
        <v>2</v>
      </c>
      <c r="L205" s="34" t="n">
        <v>1790</v>
      </c>
      <c r="M205" s="41" t="n">
        <f aca="false">IFERROR(L205/K205,0)</f>
        <v>895</v>
      </c>
      <c r="N205" s="39" t="s">
        <v>151</v>
      </c>
      <c r="O205" s="42" t="n">
        <f aca="false">IF(J205="","",AsOfDate-J205)</f>
        <v>17</v>
      </c>
      <c r="P205" s="43" t="str">
        <f aca="false">IF(A205="","",IF(AsOfDate-I205&lt;=90,"New",IF(AND(O205&lt;=180,L205&gt;=15000),"VIP",IF(O205&lt;=180,"Regular",IF(O205&lt;=365,"At risk","Lapsed")))))</f>
        <v>New</v>
      </c>
      <c r="Q205" s="43" t="str">
        <f aca="false">IF(D205="","Missing",IF(COUNTIF($D$2:$D$207,D205)&gt;1,"Duplicate",IF(AND(LEN(D205)-LEN(SUBSTITUTE(D205,"@",""))=1,ISNUMBER(SEARCH(".",D205,SEARCH("@",D205))),ISERROR(SEARCH(" ",D205))),"Valid","Invalid")))</f>
        <v>Valid</v>
      </c>
      <c r="R205" s="43" t="str">
        <f aca="false">IF(E205="","Missing",IF(COUNTIF($E$2:$E$207,E205)&gt;1,"Duplicate",IF(AND(LEN(E205)=16,LEFT(E205,5)="+63 9"),"Valid","Check")))</f>
        <v>Valid</v>
      </c>
      <c r="S205" s="43" t="str">
        <f aca="false">IF(AND(Q205="Valid",R205="Valid",N205&lt;&gt;""),"Complete","Needs follow-up")</f>
        <v>Complete</v>
      </c>
      <c r="T205" s="44" t="s">
        <v>1088</v>
      </c>
    </row>
    <row r="206" customFormat="false" ht="18.75" hidden="false" customHeight="true" outlineLevel="0" collapsed="false">
      <c r="A206" s="38" t="s">
        <v>1089</v>
      </c>
      <c r="B206" s="39" t="s">
        <v>225</v>
      </c>
      <c r="C206" s="39" t="s">
        <v>1090</v>
      </c>
      <c r="D206" s="39" t="s">
        <v>1091</v>
      </c>
      <c r="E206" s="39" t="s">
        <v>1092</v>
      </c>
      <c r="F206" s="39" t="s">
        <v>150</v>
      </c>
      <c r="G206" s="39" t="s">
        <v>80</v>
      </c>
      <c r="H206" s="39" t="s">
        <v>129</v>
      </c>
      <c r="I206" s="40" t="n">
        <v>46279</v>
      </c>
      <c r="J206" s="40" t="n">
        <v>46290</v>
      </c>
      <c r="K206" s="33" t="n">
        <v>3</v>
      </c>
      <c r="L206" s="34" t="n">
        <v>5560</v>
      </c>
      <c r="M206" s="41" t="n">
        <f aca="false">IFERROR(L206/K206,0)</f>
        <v>1853.33333333333</v>
      </c>
      <c r="N206" s="39" t="s">
        <v>151</v>
      </c>
      <c r="O206" s="42" t="n">
        <f aca="false">IF(J206="","",AsOfDate-J206)</f>
        <v>5</v>
      </c>
      <c r="P206" s="43" t="str">
        <f aca="false">IF(A206="","",IF(AsOfDate-I206&lt;=90,"New",IF(AND(O206&lt;=180,L206&gt;=15000),"VIP",IF(O206&lt;=180,"Regular",IF(O206&lt;=365,"At risk","Lapsed")))))</f>
        <v>New</v>
      </c>
      <c r="Q206" s="43" t="str">
        <f aca="false">IF(D206="","Missing",IF(COUNTIF($D$2:$D$207,D206)&gt;1,"Duplicate",IF(AND(LEN(D206)-LEN(SUBSTITUTE(D206,"@",""))=1,ISNUMBER(SEARCH(".",D206,SEARCH("@",D206))),ISERROR(SEARCH(" ",D206))),"Valid","Invalid")))</f>
        <v>Valid</v>
      </c>
      <c r="R206" s="43" t="str">
        <f aca="false">IF(E206="","Missing",IF(COUNTIF($E$2:$E$207,E206)&gt;1,"Duplicate",IF(AND(LEN(E206)=16,LEFT(E206,5)="+63 9"),"Valid","Check")))</f>
        <v>Valid</v>
      </c>
      <c r="S206" s="43" t="str">
        <f aca="false">IF(AND(Q206="Valid",R206="Valid",N206&lt;&gt;""),"Complete","Needs follow-up")</f>
        <v>Complete</v>
      </c>
      <c r="T206" s="44" t="s">
        <v>1093</v>
      </c>
    </row>
    <row r="207" customFormat="false" ht="18.75" hidden="false" customHeight="true" outlineLevel="0" collapsed="false">
      <c r="A207" s="38" t="s">
        <v>1094</v>
      </c>
      <c r="B207" s="39" t="s">
        <v>686</v>
      </c>
      <c r="C207" s="39" t="s">
        <v>141</v>
      </c>
      <c r="D207" s="39" t="s">
        <v>1095</v>
      </c>
      <c r="E207" s="39" t="s">
        <v>1096</v>
      </c>
      <c r="F207" s="39" t="s">
        <v>257</v>
      </c>
      <c r="G207" s="39" t="s">
        <v>81</v>
      </c>
      <c r="H207" s="39" t="s">
        <v>121</v>
      </c>
      <c r="I207" s="40" t="n">
        <v>46292</v>
      </c>
      <c r="J207" s="40" t="n">
        <v>46292</v>
      </c>
      <c r="K207" s="33" t="n">
        <v>1</v>
      </c>
      <c r="L207" s="34" t="n">
        <v>1650</v>
      </c>
      <c r="M207" s="41" t="n">
        <f aca="false">IFERROR(L207/K207,0)</f>
        <v>1650</v>
      </c>
      <c r="N207" s="39" t="s">
        <v>130</v>
      </c>
      <c r="O207" s="42" t="n">
        <f aca="false">IF(J207="","",AsOfDate-J207)</f>
        <v>3</v>
      </c>
      <c r="P207" s="43" t="str">
        <f aca="false">IF(A207="","",IF(AsOfDate-I207&lt;=90,"New",IF(AND(O207&lt;=180,L207&gt;=15000),"VIP",IF(O207&lt;=180,"Regular",IF(O207&lt;=365,"At risk","Lapsed")))))</f>
        <v>New</v>
      </c>
      <c r="Q207" s="43" t="str">
        <f aca="false">IF(D207="","Missing",IF(COUNTIF($D$2:$D$207,D207)&gt;1,"Duplicate",IF(AND(LEN(D207)-LEN(SUBSTITUTE(D207,"@",""))=1,ISNUMBER(SEARCH(".",D207,SEARCH("@",D207))),ISERROR(SEARCH(" ",D207))),"Valid","Invalid")))</f>
        <v>Valid</v>
      </c>
      <c r="R207" s="43" t="str">
        <f aca="false">IF(E207="","Missing",IF(COUNTIF($E$2:$E$207,E207)&gt;1,"Duplicate",IF(AND(LEN(E207)=16,LEFT(E207,5)="+63 9"),"Valid","Check")))</f>
        <v>Valid</v>
      </c>
      <c r="S207" s="43" t="str">
        <f aca="false">IF(AND(Q207="Valid",R207="Valid",N207&lt;&gt;""),"Complete","Needs follow-up")</f>
        <v>Complete</v>
      </c>
      <c r="T207" s="44" t="s">
        <v>1097</v>
      </c>
    </row>
  </sheetData>
  <conditionalFormatting sqref="Q2:S207">
    <cfRule type="cellIs" priority="2" operator="equal" aboveAverage="0" equalAverage="0" bottom="0" percent="0" rank="0" text="" dxfId="8">
      <formula>"Missing"</formula>
    </cfRule>
    <cfRule type="cellIs" priority="3" operator="equal" aboveAverage="0" equalAverage="0" bottom="0" percent="0" rank="0" text="" dxfId="8">
      <formula>"Needs follow-up"</formula>
    </cfRule>
  </conditionalFormatting>
  <conditionalFormatting sqref="Q2:R207">
    <cfRule type="expression" priority="4" aboveAverage="0" equalAverage="0" bottom="0" percent="0" rank="0" text="" dxfId="9">
      <formula>OR(Q2="Duplicate",Q2="Invalid",Q2="Check")</formula>
    </cfRule>
  </conditionalFormatting>
  <conditionalFormatting sqref="N2:N207">
    <cfRule type="expression" priority="5" aboveAverage="0" equalAverage="0" bottom="0" percent="0" rank="0" text="" dxfId="10">
      <formula>AND($A2&lt;&gt;"",N2="")</formula>
    </cfRule>
  </conditionalFormatting>
  <conditionalFormatting sqref="D2:D207">
    <cfRule type="expression" priority="6" aboveAverage="0" equalAverage="0" bottom="0" percent="0" rank="0" text="" dxfId="10">
      <formula>AND($A2&lt;&gt;"",D2="")</formula>
    </cfRule>
  </conditionalFormatting>
  <conditionalFormatting sqref="E2:E207">
    <cfRule type="expression" priority="7" aboveAverage="0" equalAverage="0" bottom="0" percent="0" rank="0" text="" dxfId="10">
      <formula>AND($A2&lt;&gt;"",E2="")</formula>
    </cfRule>
  </conditionalFormatting>
  <conditionalFormatting sqref="P2:P207">
    <cfRule type="cellIs" priority="8" operator="equal" aboveAverage="0" equalAverage="0" bottom="0" percent="0" rank="0" text="" dxfId="11">
      <formula>"VIP"</formula>
    </cfRule>
    <cfRule type="cellIs" priority="9" operator="equal" aboveAverage="0" equalAverage="0" bottom="0" percent="0" rank="0" text="" dxfId="12">
      <formula>"Lapsed"</formula>
    </cfRule>
  </conditionalFormatting>
  <dataValidations count="6">
    <dataValidation allowBlank="true" error="Pick a city from the list. New city? Add it on the Lists sheet first." errorStyle="stop" errorTitle="Not on the list" operator="between" prompt="Pick a city from the list. New city? Add it on the Lists sheet first." promptTitle="Allowed values" showDropDown="false" showErrorMessage="true" showInputMessage="true" sqref="F2:F1000" type="list">
      <formula1>CityList</formula1>
      <formula2>0</formula2>
    </dataValidation>
    <dataValidation allowBlank="true" error="Pick a province from the list." errorStyle="stop" errorTitle="Not on the list" operator="between" prompt="Pick a province from the list." promptTitle="Allowed values" showDropDown="false" showErrorMessage="true" showInputMessage="true" sqref="G2:G1000" type="list">
      <formula1>ProvinceList</formula1>
      <formula2>0</formula2>
    </dataValidation>
    <dataValidation allowBlank="true" error="Yes or No only. Leave blank if not asked yet." errorStyle="stop" errorTitle="Not on the list" operator="between" prompt="Yes or No only. Leave blank if not asked yet." promptTitle="Allowed values" showDropDown="false" showErrorMessage="true" showInputMessage="true" sqref="N2:N1000" type="list">
      <formula1>ConsentList</formula1>
      <formula2>0</formula2>
    </dataValidation>
    <dataValidation allowBlank="true" error="Enter a real date, not later than the report date." errorStyle="stop" errorTitle="Check the date" operator="between" showDropDown="false" showErrorMessage="true" showInputMessage="false" sqref="I2:J1000" type="date">
      <formula1>DATE(2020,1,1)</formula1>
      <formula2>AsOfDate</formula2>
    </dataValidation>
    <dataValidation allowBlank="true" error="Whole numbers only, 0 or more." errorStyle="stop" operator="greaterThanOrEqual" showDropDown="false" showErrorMessage="true" showInputMessage="false" sqref="K2:K1000" type="whole">
      <formula1>0</formula1>
      <formula2>0</formula2>
    </dataValidation>
    <dataValidation allowBlank="true" error="Numbers only, 0 or more. Do not type the peso sign." errorStyle="stop" operator="greaterThanOrEqual" showDropDown="false" showErrorMessage="true" showInputMessage="false" sqref="L2:L1000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A1:M2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10" min="9" style="0" width="18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8" t="s">
        <v>1098</v>
      </c>
      <c r="B1" s="8" t="s">
        <v>87</v>
      </c>
      <c r="C1" s="8" t="s">
        <v>1099</v>
      </c>
      <c r="D1" s="8" t="s">
        <v>1100</v>
      </c>
      <c r="E1" s="8" t="s">
        <v>100</v>
      </c>
      <c r="F1" s="8" t="s">
        <v>101</v>
      </c>
      <c r="G1" s="8" t="s">
        <v>102</v>
      </c>
      <c r="H1" s="8" t="s">
        <v>77</v>
      </c>
      <c r="I1" s="8" t="s">
        <v>104</v>
      </c>
      <c r="J1" s="8" t="s">
        <v>105</v>
      </c>
      <c r="K1" s="8" t="s">
        <v>106</v>
      </c>
      <c r="L1" s="8" t="s">
        <v>107</v>
      </c>
      <c r="M1" s="8" t="s">
        <v>1101</v>
      </c>
    </row>
    <row r="2" customFormat="false" ht="18" hidden="false" customHeight="true" outlineLevel="0" collapsed="false">
      <c r="A2" s="45" t="s">
        <v>511</v>
      </c>
      <c r="B2" s="46" t="s">
        <v>129</v>
      </c>
      <c r="C2" s="46" t="s">
        <v>1102</v>
      </c>
      <c r="D2" s="46" t="s">
        <v>1103</v>
      </c>
      <c r="E2" s="46" t="s">
        <v>509</v>
      </c>
      <c r="F2" s="46" t="s">
        <v>1104</v>
      </c>
      <c r="G2" s="46" t="s">
        <v>1105</v>
      </c>
      <c r="H2" s="46" t="s">
        <v>79</v>
      </c>
      <c r="I2" s="46" t="s">
        <v>1106</v>
      </c>
      <c r="J2" s="46" t="s">
        <v>1107</v>
      </c>
      <c r="K2" s="46" t="s">
        <v>1108</v>
      </c>
      <c r="L2" s="46" t="s">
        <v>1109</v>
      </c>
      <c r="M2" s="46" t="s">
        <v>1110</v>
      </c>
    </row>
    <row r="3" customFormat="false" ht="18" hidden="false" customHeight="true" outlineLevel="0" collapsed="false">
      <c r="A3" s="45" t="s">
        <v>296</v>
      </c>
      <c r="B3" s="46" t="s">
        <v>129</v>
      </c>
      <c r="C3" s="46" t="s">
        <v>1111</v>
      </c>
      <c r="D3" s="46" t="s">
        <v>1112</v>
      </c>
      <c r="E3" s="46" t="s">
        <v>293</v>
      </c>
      <c r="F3" s="46" t="s">
        <v>1113</v>
      </c>
      <c r="G3" s="46" t="s">
        <v>295</v>
      </c>
      <c r="H3" s="46" t="s">
        <v>84</v>
      </c>
      <c r="I3" s="46" t="s">
        <v>1114</v>
      </c>
      <c r="J3" s="46" t="s">
        <v>1115</v>
      </c>
      <c r="K3" s="46" t="s">
        <v>1116</v>
      </c>
      <c r="L3" s="46" t="s">
        <v>1117</v>
      </c>
      <c r="M3" s="46" t="s">
        <v>1110</v>
      </c>
    </row>
    <row r="4" customFormat="false" ht="18" hidden="false" customHeight="true" outlineLevel="0" collapsed="false">
      <c r="A4" s="45" t="s">
        <v>276</v>
      </c>
      <c r="B4" s="46" t="s">
        <v>129</v>
      </c>
      <c r="C4" s="46" t="s">
        <v>1118</v>
      </c>
      <c r="D4" s="46" t="s">
        <v>1119</v>
      </c>
      <c r="E4" s="46" t="s">
        <v>274</v>
      </c>
      <c r="F4" s="46" t="s">
        <v>1120</v>
      </c>
      <c r="G4" s="46" t="s">
        <v>128</v>
      </c>
      <c r="H4" s="46" t="s">
        <v>79</v>
      </c>
      <c r="I4" s="46" t="s">
        <v>1121</v>
      </c>
      <c r="J4" s="46" t="s">
        <v>1122</v>
      </c>
      <c r="K4" s="46" t="s">
        <v>1123</v>
      </c>
      <c r="L4" s="46" t="s">
        <v>1124</v>
      </c>
      <c r="M4" s="46" t="s">
        <v>1110</v>
      </c>
    </row>
    <row r="5" customFormat="false" ht="18" hidden="false" customHeight="true" outlineLevel="0" collapsed="false">
      <c r="A5" s="45" t="s">
        <v>782</v>
      </c>
      <c r="B5" s="46" t="s">
        <v>129</v>
      </c>
      <c r="C5" s="46" t="s">
        <v>1125</v>
      </c>
      <c r="D5" s="46" t="s">
        <v>1126</v>
      </c>
      <c r="E5" s="46" t="s">
        <v>780</v>
      </c>
      <c r="F5" s="46" t="s">
        <v>1127</v>
      </c>
      <c r="G5" s="46" t="s">
        <v>128</v>
      </c>
      <c r="H5" s="46" t="s">
        <v>79</v>
      </c>
      <c r="I5" s="46" t="s">
        <v>1128</v>
      </c>
      <c r="J5" s="46" t="s">
        <v>1129</v>
      </c>
      <c r="K5" s="46" t="s">
        <v>1130</v>
      </c>
      <c r="L5" s="46" t="s">
        <v>1131</v>
      </c>
      <c r="M5" s="46" t="s">
        <v>1132</v>
      </c>
    </row>
    <row r="6" customFormat="false" ht="18" hidden="false" customHeight="true" outlineLevel="0" collapsed="false">
      <c r="A6" s="45" t="s">
        <v>1133</v>
      </c>
      <c r="B6" s="46" t="s">
        <v>129</v>
      </c>
      <c r="C6" s="46" t="s">
        <v>1134</v>
      </c>
      <c r="D6" s="46" t="s">
        <v>1135</v>
      </c>
      <c r="E6" s="46" t="s">
        <v>180</v>
      </c>
      <c r="F6" s="46" t="s">
        <v>1136</v>
      </c>
      <c r="G6" s="46" t="s">
        <v>128</v>
      </c>
      <c r="H6" s="46" t="s">
        <v>1137</v>
      </c>
      <c r="I6" s="46" t="s">
        <v>1138</v>
      </c>
      <c r="J6" s="46" t="s">
        <v>1139</v>
      </c>
      <c r="K6" s="46" t="s">
        <v>1140</v>
      </c>
      <c r="L6" s="46" t="s">
        <v>1141</v>
      </c>
      <c r="M6" s="46" t="s">
        <v>1110</v>
      </c>
    </row>
    <row r="7" customFormat="false" ht="18" hidden="false" customHeight="true" outlineLevel="0" collapsed="false">
      <c r="A7" s="45" t="s">
        <v>1142</v>
      </c>
      <c r="B7" s="46" t="s">
        <v>129</v>
      </c>
      <c r="C7" s="46" t="s">
        <v>1143</v>
      </c>
      <c r="D7" s="46" t="s">
        <v>1144</v>
      </c>
      <c r="E7" s="46" t="s">
        <v>421</v>
      </c>
      <c r="F7" s="46" t="s">
        <v>1145</v>
      </c>
      <c r="G7" s="46" t="s">
        <v>1146</v>
      </c>
      <c r="H7" s="46" t="s">
        <v>83</v>
      </c>
      <c r="I7" s="46" t="s">
        <v>1147</v>
      </c>
      <c r="J7" s="46" t="s">
        <v>1148</v>
      </c>
      <c r="K7" s="46" t="s">
        <v>1149</v>
      </c>
      <c r="L7" s="46" t="s">
        <v>1150</v>
      </c>
      <c r="M7" s="46" t="s">
        <v>1110</v>
      </c>
    </row>
    <row r="8" customFormat="false" ht="18" hidden="false" customHeight="true" outlineLevel="0" collapsed="false">
      <c r="A8" s="45" t="s">
        <v>1151</v>
      </c>
      <c r="B8" s="46" t="s">
        <v>129</v>
      </c>
      <c r="C8" s="46" t="s">
        <v>1152</v>
      </c>
      <c r="D8" s="46" t="s">
        <v>1153</v>
      </c>
      <c r="E8" s="46" t="s">
        <v>1154</v>
      </c>
      <c r="F8" s="46" t="s">
        <v>488</v>
      </c>
      <c r="G8" s="46" t="s">
        <v>295</v>
      </c>
      <c r="H8" s="46" t="s">
        <v>1155</v>
      </c>
      <c r="I8" s="46" t="s">
        <v>1156</v>
      </c>
      <c r="J8" s="46" t="s">
        <v>1157</v>
      </c>
      <c r="K8" s="46" t="s">
        <v>1158</v>
      </c>
      <c r="L8" s="46" t="s">
        <v>1159</v>
      </c>
      <c r="M8" s="46" t="s">
        <v>1110</v>
      </c>
    </row>
    <row r="9" customFormat="false" ht="18" hidden="false" customHeight="true" outlineLevel="0" collapsed="false">
      <c r="A9" s="45" t="s">
        <v>626</v>
      </c>
      <c r="B9" s="46" t="s">
        <v>129</v>
      </c>
      <c r="C9" s="46" t="s">
        <v>1160</v>
      </c>
      <c r="D9" s="46" t="s">
        <v>1161</v>
      </c>
      <c r="E9" s="46" t="s">
        <v>624</v>
      </c>
      <c r="F9" s="46" t="s">
        <v>625</v>
      </c>
      <c r="G9" s="46" t="s">
        <v>217</v>
      </c>
      <c r="H9" s="46" t="s">
        <v>1162</v>
      </c>
      <c r="I9" s="46" t="s">
        <v>1163</v>
      </c>
      <c r="J9" s="46" t="s">
        <v>1164</v>
      </c>
      <c r="K9" s="46" t="s">
        <v>1165</v>
      </c>
      <c r="L9" s="46" t="s">
        <v>1166</v>
      </c>
      <c r="M9" s="46" t="s">
        <v>1110</v>
      </c>
    </row>
    <row r="10" customFormat="false" ht="18" hidden="false" customHeight="true" outlineLevel="0" collapsed="false">
      <c r="A10" s="45" t="s">
        <v>1167</v>
      </c>
      <c r="B10" s="46" t="s">
        <v>129</v>
      </c>
      <c r="C10" s="46" t="s">
        <v>1168</v>
      </c>
      <c r="D10" s="46" t="s">
        <v>1169</v>
      </c>
      <c r="E10" s="46" t="s">
        <v>1170</v>
      </c>
      <c r="F10" s="46" t="s">
        <v>1171</v>
      </c>
      <c r="G10" s="46" t="s">
        <v>1172</v>
      </c>
      <c r="H10" s="46" t="s">
        <v>1173</v>
      </c>
      <c r="I10" s="46" t="s">
        <v>1174</v>
      </c>
      <c r="J10" s="46" t="s">
        <v>1174</v>
      </c>
      <c r="K10" s="46" t="s">
        <v>1140</v>
      </c>
      <c r="L10" s="46" t="s">
        <v>1175</v>
      </c>
      <c r="M10" s="46" t="s">
        <v>1110</v>
      </c>
    </row>
    <row r="11" customFormat="false" ht="18" hidden="false" customHeight="true" outlineLevel="0" collapsed="false">
      <c r="A11" s="45" t="s">
        <v>494</v>
      </c>
      <c r="B11" s="46" t="s">
        <v>129</v>
      </c>
      <c r="C11" s="46" t="s">
        <v>1176</v>
      </c>
      <c r="D11" s="46" t="s">
        <v>1177</v>
      </c>
      <c r="E11" s="46" t="s">
        <v>492</v>
      </c>
      <c r="F11" s="46" t="s">
        <v>1178</v>
      </c>
      <c r="G11" s="46" t="s">
        <v>1179</v>
      </c>
      <c r="H11" s="46" t="s">
        <v>80</v>
      </c>
      <c r="I11" s="46" t="s">
        <v>1180</v>
      </c>
      <c r="J11" s="46" t="s">
        <v>1181</v>
      </c>
      <c r="K11" s="46" t="s">
        <v>1182</v>
      </c>
      <c r="L11" s="46" t="s">
        <v>1183</v>
      </c>
      <c r="M11" s="46" t="s">
        <v>1132</v>
      </c>
    </row>
    <row r="12" customFormat="false" ht="18" hidden="false" customHeight="true" outlineLevel="0" collapsed="false">
      <c r="A12" s="45" t="s">
        <v>1184</v>
      </c>
      <c r="B12" s="46" t="s">
        <v>129</v>
      </c>
      <c r="C12" s="46" t="s">
        <v>1185</v>
      </c>
      <c r="D12" s="46" t="s">
        <v>1186</v>
      </c>
      <c r="E12" s="46" t="s">
        <v>843</v>
      </c>
      <c r="F12" s="46" t="s">
        <v>1187</v>
      </c>
      <c r="G12" s="46" t="s">
        <v>1188</v>
      </c>
      <c r="H12" s="46" t="s">
        <v>79</v>
      </c>
      <c r="I12" s="46" t="s">
        <v>1147</v>
      </c>
      <c r="J12" s="46" t="s">
        <v>1189</v>
      </c>
      <c r="K12" s="46" t="s">
        <v>1108</v>
      </c>
      <c r="L12" s="46" t="s">
        <v>1190</v>
      </c>
      <c r="M12" s="46" t="s">
        <v>1132</v>
      </c>
    </row>
    <row r="13" customFormat="false" ht="18" hidden="false" customHeight="true" outlineLevel="0" collapsed="false">
      <c r="A13" s="45" t="s">
        <v>448</v>
      </c>
      <c r="B13" s="46" t="s">
        <v>129</v>
      </c>
      <c r="C13" s="46" t="s">
        <v>1191</v>
      </c>
      <c r="D13" s="46" t="s">
        <v>1192</v>
      </c>
      <c r="E13" s="46" t="s">
        <v>446</v>
      </c>
      <c r="F13" s="46" t="s">
        <v>1193</v>
      </c>
      <c r="G13" s="46" t="s">
        <v>1194</v>
      </c>
      <c r="H13" s="46" t="s">
        <v>79</v>
      </c>
      <c r="I13" s="46" t="s">
        <v>1195</v>
      </c>
      <c r="J13" s="46" t="s">
        <v>1196</v>
      </c>
      <c r="K13" s="46" t="s">
        <v>1108</v>
      </c>
      <c r="L13" s="46" t="s">
        <v>1197</v>
      </c>
      <c r="M13" s="46" t="s">
        <v>1132</v>
      </c>
    </row>
    <row r="14" customFormat="false" ht="18" hidden="false" customHeight="true" outlineLevel="0" collapsed="false">
      <c r="A14" s="45" t="s">
        <v>986</v>
      </c>
      <c r="B14" s="46" t="s">
        <v>129</v>
      </c>
      <c r="C14" s="46" t="s">
        <v>1198</v>
      </c>
      <c r="D14" s="46" t="s">
        <v>1199</v>
      </c>
      <c r="E14" s="46" t="s">
        <v>984</v>
      </c>
      <c r="F14" s="46" t="s">
        <v>1200</v>
      </c>
      <c r="G14" s="46" t="s">
        <v>1201</v>
      </c>
      <c r="H14" s="46" t="s">
        <v>79</v>
      </c>
      <c r="I14" s="46" t="s">
        <v>1202</v>
      </c>
      <c r="J14" s="46" t="s">
        <v>1203</v>
      </c>
      <c r="K14" s="46" t="s">
        <v>1204</v>
      </c>
      <c r="L14" s="46" t="s">
        <v>1205</v>
      </c>
      <c r="M14" s="46" t="s">
        <v>1132</v>
      </c>
    </row>
    <row r="15" customFormat="false" ht="18" hidden="false" customHeight="true" outlineLevel="0" collapsed="false">
      <c r="A15" s="45" t="s">
        <v>404</v>
      </c>
      <c r="B15" s="46" t="s">
        <v>129</v>
      </c>
      <c r="C15" s="46" t="s">
        <v>1206</v>
      </c>
      <c r="D15" s="46" t="s">
        <v>1207</v>
      </c>
      <c r="E15" s="46" t="s">
        <v>402</v>
      </c>
      <c r="F15" s="46" t="s">
        <v>1208</v>
      </c>
      <c r="G15" s="46" t="s">
        <v>128</v>
      </c>
      <c r="H15" s="46" t="s">
        <v>1173</v>
      </c>
      <c r="I15" s="46" t="s">
        <v>1209</v>
      </c>
      <c r="J15" s="46" t="s">
        <v>1210</v>
      </c>
      <c r="K15" s="46" t="s">
        <v>1130</v>
      </c>
      <c r="L15" s="46" t="s">
        <v>1211</v>
      </c>
      <c r="M15" s="46" t="s">
        <v>1110</v>
      </c>
    </row>
    <row r="16" customFormat="false" ht="18" hidden="false" customHeight="true" outlineLevel="0" collapsed="false">
      <c r="A16" s="45" t="s">
        <v>1212</v>
      </c>
      <c r="B16" s="46" t="s">
        <v>129</v>
      </c>
      <c r="C16" s="46" t="s">
        <v>1213</v>
      </c>
      <c r="D16" s="46" t="s">
        <v>1214</v>
      </c>
      <c r="E16" s="46" t="s">
        <v>187</v>
      </c>
      <c r="F16" s="46" t="s">
        <v>1215</v>
      </c>
      <c r="G16" s="46" t="s">
        <v>120</v>
      </c>
      <c r="H16" s="46" t="s">
        <v>1216</v>
      </c>
      <c r="I16" s="46" t="s">
        <v>1217</v>
      </c>
      <c r="J16" s="46" t="s">
        <v>1218</v>
      </c>
      <c r="K16" s="46" t="s">
        <v>1182</v>
      </c>
      <c r="L16" s="46" t="s">
        <v>1219</v>
      </c>
      <c r="M16" s="46" t="s">
        <v>1110</v>
      </c>
    </row>
    <row r="17" customFormat="false" ht="18" hidden="false" customHeight="true" outlineLevel="0" collapsed="false">
      <c r="A17" s="45" t="s">
        <v>744</v>
      </c>
      <c r="B17" s="46" t="s">
        <v>129</v>
      </c>
      <c r="C17" s="46" t="s">
        <v>1220</v>
      </c>
      <c r="D17" s="46" t="s">
        <v>1221</v>
      </c>
      <c r="E17" s="46" t="s">
        <v>742</v>
      </c>
      <c r="F17" s="46" t="s">
        <v>743</v>
      </c>
      <c r="G17" s="46" t="s">
        <v>81</v>
      </c>
      <c r="H17" s="46" t="s">
        <v>81</v>
      </c>
      <c r="I17" s="46" t="s">
        <v>1222</v>
      </c>
      <c r="J17" s="46" t="s">
        <v>1223</v>
      </c>
      <c r="K17" s="46" t="s">
        <v>1224</v>
      </c>
      <c r="L17" s="46" t="s">
        <v>1225</v>
      </c>
      <c r="M17" s="46" t="s">
        <v>1132</v>
      </c>
    </row>
    <row r="18" customFormat="false" ht="18" hidden="false" customHeight="true" outlineLevel="0" collapsed="false">
      <c r="A18" s="45" t="s">
        <v>1226</v>
      </c>
      <c r="B18" s="46" t="s">
        <v>129</v>
      </c>
      <c r="C18" s="46" t="s">
        <v>1227</v>
      </c>
      <c r="D18" s="46" t="s">
        <v>1228</v>
      </c>
      <c r="E18" s="46" t="s">
        <v>620</v>
      </c>
      <c r="F18" s="46" t="s">
        <v>621</v>
      </c>
      <c r="G18" s="46" t="s">
        <v>1172</v>
      </c>
      <c r="H18" s="46" t="s">
        <v>1173</v>
      </c>
      <c r="I18" s="46" t="s">
        <v>1229</v>
      </c>
      <c r="J18" s="46" t="s">
        <v>1230</v>
      </c>
      <c r="K18" s="46" t="s">
        <v>1165</v>
      </c>
      <c r="L18" s="46" t="s">
        <v>1231</v>
      </c>
      <c r="M18" s="46" t="s">
        <v>1110</v>
      </c>
    </row>
    <row r="19" customFormat="false" ht="18" hidden="false" customHeight="true" outlineLevel="0" collapsed="false">
      <c r="A19" s="45" t="s">
        <v>479</v>
      </c>
      <c r="B19" s="46" t="s">
        <v>129</v>
      </c>
      <c r="C19" s="46" t="s">
        <v>1232</v>
      </c>
      <c r="D19" s="46" t="s">
        <v>1233</v>
      </c>
      <c r="E19" s="46" t="s">
        <v>477</v>
      </c>
      <c r="F19" s="46" t="s">
        <v>1234</v>
      </c>
      <c r="G19" s="46" t="s">
        <v>1235</v>
      </c>
      <c r="H19" s="46" t="s">
        <v>1236</v>
      </c>
      <c r="I19" s="46" t="s">
        <v>1237</v>
      </c>
      <c r="J19" s="46" t="s">
        <v>1238</v>
      </c>
      <c r="K19" s="46" t="s">
        <v>1130</v>
      </c>
      <c r="L19" s="46" t="s">
        <v>1239</v>
      </c>
      <c r="M19" s="46" t="s">
        <v>1110</v>
      </c>
    </row>
    <row r="20" customFormat="false" ht="18" hidden="false" customHeight="true" outlineLevel="0" collapsed="false">
      <c r="A20" s="45" t="s">
        <v>131</v>
      </c>
      <c r="B20" s="46" t="s">
        <v>129</v>
      </c>
      <c r="C20" s="46" t="s">
        <v>1240</v>
      </c>
      <c r="D20" s="46" t="s">
        <v>1241</v>
      </c>
      <c r="E20" s="46" t="s">
        <v>1242</v>
      </c>
      <c r="F20" s="46" t="s">
        <v>127</v>
      </c>
      <c r="G20" s="46" t="s">
        <v>128</v>
      </c>
      <c r="H20" s="46" t="s">
        <v>1243</v>
      </c>
      <c r="I20" s="46" t="s">
        <v>1244</v>
      </c>
      <c r="J20" s="46" t="s">
        <v>1245</v>
      </c>
      <c r="K20" s="46" t="s">
        <v>1108</v>
      </c>
      <c r="L20" s="46" t="s">
        <v>1246</v>
      </c>
      <c r="M20" s="46" t="s">
        <v>1132</v>
      </c>
    </row>
    <row r="21" customFormat="false" ht="18" hidden="false" customHeight="true" outlineLevel="0" collapsed="false">
      <c r="A21" s="45" t="s">
        <v>1247</v>
      </c>
      <c r="B21" s="46" t="s">
        <v>129</v>
      </c>
      <c r="C21" s="46" t="s">
        <v>1248</v>
      </c>
      <c r="D21" s="46" t="s">
        <v>1249</v>
      </c>
      <c r="E21" s="46" t="s">
        <v>874</v>
      </c>
      <c r="F21" s="46" t="s">
        <v>1250</v>
      </c>
      <c r="G21" s="46" t="s">
        <v>128</v>
      </c>
      <c r="H21" s="46" t="s">
        <v>1162</v>
      </c>
      <c r="I21" s="46" t="s">
        <v>1251</v>
      </c>
      <c r="J21" s="46" t="s">
        <v>1252</v>
      </c>
      <c r="K21" s="46" t="s">
        <v>1224</v>
      </c>
      <c r="L21" s="46" t="s">
        <v>1253</v>
      </c>
      <c r="M21" s="46" t="s">
        <v>1110</v>
      </c>
    </row>
    <row r="22" customFormat="false" ht="18" hidden="false" customHeight="true" outlineLevel="0" collapsed="false">
      <c r="A22" s="45" t="s">
        <v>1254</v>
      </c>
      <c r="B22" s="46" t="s">
        <v>129</v>
      </c>
      <c r="C22" s="46" t="s">
        <v>1255</v>
      </c>
      <c r="D22" s="46" t="s">
        <v>1256</v>
      </c>
      <c r="E22" s="46" t="s">
        <v>804</v>
      </c>
      <c r="F22" s="46" t="s">
        <v>805</v>
      </c>
      <c r="G22" s="46" t="s">
        <v>137</v>
      </c>
      <c r="H22" s="46" t="s">
        <v>1257</v>
      </c>
      <c r="I22" s="46" t="s">
        <v>1258</v>
      </c>
      <c r="J22" s="46" t="s">
        <v>1259</v>
      </c>
      <c r="K22" s="46" t="s">
        <v>1140</v>
      </c>
      <c r="L22" s="46" t="s">
        <v>1260</v>
      </c>
      <c r="M22" s="46" t="s">
        <v>1110</v>
      </c>
    </row>
    <row r="23" customFormat="false" ht="18" hidden="false" customHeight="true" outlineLevel="0" collapsed="false">
      <c r="A23" s="45" t="s">
        <v>881</v>
      </c>
      <c r="B23" s="46" t="s">
        <v>129</v>
      </c>
      <c r="C23" s="46" t="s">
        <v>1261</v>
      </c>
      <c r="D23" s="46" t="s">
        <v>1262</v>
      </c>
      <c r="E23" s="46" t="s">
        <v>879</v>
      </c>
      <c r="F23" s="46" t="s">
        <v>1263</v>
      </c>
      <c r="G23" s="46" t="s">
        <v>81</v>
      </c>
      <c r="H23" s="46" t="s">
        <v>81</v>
      </c>
      <c r="I23" s="46" t="s">
        <v>1264</v>
      </c>
      <c r="J23" s="46" t="s">
        <v>1265</v>
      </c>
      <c r="K23" s="46" t="s">
        <v>1108</v>
      </c>
      <c r="L23" s="46" t="s">
        <v>1266</v>
      </c>
      <c r="M23" s="46" t="s">
        <v>1132</v>
      </c>
    </row>
    <row r="24" customFormat="false" ht="18" hidden="false" customHeight="true" outlineLevel="0" collapsed="false">
      <c r="A24" s="45" t="s">
        <v>583</v>
      </c>
      <c r="B24" s="46" t="s">
        <v>129</v>
      </c>
      <c r="C24" s="46" t="s">
        <v>1267</v>
      </c>
      <c r="D24" s="46" t="s">
        <v>1268</v>
      </c>
      <c r="E24" s="46" t="s">
        <v>581</v>
      </c>
      <c r="F24" s="46" t="s">
        <v>1269</v>
      </c>
      <c r="G24" s="46" t="s">
        <v>1194</v>
      </c>
      <c r="H24" s="46" t="s">
        <v>79</v>
      </c>
      <c r="I24" s="46" t="s">
        <v>1270</v>
      </c>
      <c r="J24" s="46" t="s">
        <v>1271</v>
      </c>
      <c r="K24" s="46" t="s">
        <v>1272</v>
      </c>
      <c r="L24" s="46" t="s">
        <v>1273</v>
      </c>
      <c r="M24" s="46" t="s">
        <v>1132</v>
      </c>
    </row>
    <row r="25" customFormat="false" ht="18" hidden="false" customHeight="true" outlineLevel="0" collapsed="false">
      <c r="A25" s="45" t="s">
        <v>645</v>
      </c>
      <c r="B25" s="46" t="s">
        <v>129</v>
      </c>
      <c r="C25" s="46" t="s">
        <v>1274</v>
      </c>
      <c r="D25" s="46" t="s">
        <v>1275</v>
      </c>
      <c r="E25" s="46" t="s">
        <v>1276</v>
      </c>
      <c r="F25" s="46" t="s">
        <v>1277</v>
      </c>
      <c r="G25" s="46" t="s">
        <v>120</v>
      </c>
      <c r="H25" s="46" t="s">
        <v>80</v>
      </c>
      <c r="I25" s="46" t="s">
        <v>1278</v>
      </c>
      <c r="J25" s="46" t="s">
        <v>1279</v>
      </c>
      <c r="K25" s="46" t="s">
        <v>1280</v>
      </c>
      <c r="L25" s="46" t="s">
        <v>1281</v>
      </c>
      <c r="M25" s="46" t="s">
        <v>1110</v>
      </c>
    </row>
    <row r="26" customFormat="false" ht="18" hidden="false" customHeight="true" outlineLevel="0" collapsed="false">
      <c r="A26" s="45" t="s">
        <v>506</v>
      </c>
      <c r="B26" s="46" t="s">
        <v>129</v>
      </c>
      <c r="C26" s="46" t="s">
        <v>1282</v>
      </c>
      <c r="D26" s="46" t="s">
        <v>1283</v>
      </c>
      <c r="E26" s="46" t="s">
        <v>1284</v>
      </c>
      <c r="F26" s="46" t="s">
        <v>505</v>
      </c>
      <c r="G26" s="46" t="s">
        <v>239</v>
      </c>
      <c r="H26" s="46" t="s">
        <v>79</v>
      </c>
      <c r="I26" s="46" t="s">
        <v>1285</v>
      </c>
      <c r="J26" s="46" t="s">
        <v>1230</v>
      </c>
      <c r="K26" s="46" t="s">
        <v>1280</v>
      </c>
      <c r="L26" s="46" t="s">
        <v>1286</v>
      </c>
      <c r="M26" s="46" t="s">
        <v>1110</v>
      </c>
    </row>
    <row r="27" customFormat="false" ht="18" hidden="false" customHeight="true" outlineLevel="0" collapsed="false">
      <c r="A27" s="45" t="s">
        <v>1287</v>
      </c>
      <c r="B27" s="46" t="s">
        <v>129</v>
      </c>
      <c r="C27" s="46" t="s">
        <v>1288</v>
      </c>
      <c r="D27" s="46" t="s">
        <v>1289</v>
      </c>
      <c r="E27" s="46" t="s">
        <v>524</v>
      </c>
      <c r="F27" s="46" t="s">
        <v>1290</v>
      </c>
      <c r="G27" s="46" t="s">
        <v>1146</v>
      </c>
      <c r="H27" s="46" t="s">
        <v>83</v>
      </c>
      <c r="I27" s="46" t="s">
        <v>1291</v>
      </c>
      <c r="J27" s="46" t="s">
        <v>1292</v>
      </c>
      <c r="K27" s="46" t="s">
        <v>1140</v>
      </c>
      <c r="L27" s="46" t="s">
        <v>1293</v>
      </c>
      <c r="M27" s="46" t="s">
        <v>1110</v>
      </c>
    </row>
    <row r="28" customFormat="false" ht="18" hidden="false" customHeight="true" outlineLevel="0" collapsed="false">
      <c r="A28" s="45" t="s">
        <v>1294</v>
      </c>
      <c r="B28" s="46" t="s">
        <v>129</v>
      </c>
      <c r="C28" s="46" t="s">
        <v>1295</v>
      </c>
      <c r="D28" s="46" t="s">
        <v>1296</v>
      </c>
      <c r="E28" s="46" t="s">
        <v>534</v>
      </c>
      <c r="F28" s="46" t="s">
        <v>1297</v>
      </c>
      <c r="G28" s="46" t="s">
        <v>1298</v>
      </c>
      <c r="H28" s="46" t="s">
        <v>1216</v>
      </c>
      <c r="I28" s="46" t="s">
        <v>1299</v>
      </c>
      <c r="J28" s="46" t="s">
        <v>1300</v>
      </c>
      <c r="K28" s="46" t="s">
        <v>1130</v>
      </c>
      <c r="L28" s="46" t="s">
        <v>1301</v>
      </c>
      <c r="M28" s="46" t="s">
        <v>1132</v>
      </c>
    </row>
    <row r="29" customFormat="false" ht="18" hidden="false" customHeight="true" outlineLevel="0" collapsed="false">
      <c r="A29" s="45" t="s">
        <v>331</v>
      </c>
      <c r="B29" s="46" t="s">
        <v>129</v>
      </c>
      <c r="C29" s="46" t="s">
        <v>1302</v>
      </c>
      <c r="D29" s="46" t="s">
        <v>1303</v>
      </c>
      <c r="E29" s="46" t="s">
        <v>329</v>
      </c>
      <c r="F29" s="46" t="s">
        <v>1304</v>
      </c>
      <c r="G29" s="46" t="s">
        <v>150</v>
      </c>
      <c r="H29" s="46" t="s">
        <v>1236</v>
      </c>
      <c r="I29" s="46" t="s">
        <v>1305</v>
      </c>
      <c r="J29" s="46" t="s">
        <v>1306</v>
      </c>
      <c r="K29" s="46" t="s">
        <v>1307</v>
      </c>
      <c r="L29" s="46" t="s">
        <v>1308</v>
      </c>
      <c r="M29" s="46" t="s">
        <v>1132</v>
      </c>
    </row>
    <row r="30" customFormat="false" ht="18" hidden="false" customHeight="true" outlineLevel="0" collapsed="false">
      <c r="A30" s="45" t="s">
        <v>202</v>
      </c>
      <c r="B30" s="46" t="s">
        <v>129</v>
      </c>
      <c r="C30" s="46" t="s">
        <v>1309</v>
      </c>
      <c r="D30" s="46" t="s">
        <v>1310</v>
      </c>
      <c r="E30" s="46" t="s">
        <v>200</v>
      </c>
      <c r="F30" s="46" t="s">
        <v>1311</v>
      </c>
      <c r="G30" s="46" t="s">
        <v>1172</v>
      </c>
      <c r="H30" s="46" t="s">
        <v>1243</v>
      </c>
      <c r="I30" s="46" t="s">
        <v>1312</v>
      </c>
      <c r="J30" s="46" t="s">
        <v>1313</v>
      </c>
      <c r="K30" s="46" t="s">
        <v>1272</v>
      </c>
      <c r="L30" s="46" t="s">
        <v>1314</v>
      </c>
      <c r="M30" s="46" t="s">
        <v>1110</v>
      </c>
    </row>
    <row r="31" customFormat="false" ht="18" hidden="false" customHeight="true" outlineLevel="0" collapsed="false">
      <c r="A31" s="45" t="s">
        <v>1315</v>
      </c>
      <c r="B31" s="46" t="s">
        <v>129</v>
      </c>
      <c r="C31" s="46" t="s">
        <v>1316</v>
      </c>
      <c r="D31" s="46" t="s">
        <v>1317</v>
      </c>
      <c r="E31" s="46" t="s">
        <v>607</v>
      </c>
      <c r="F31" s="46" t="s">
        <v>608</v>
      </c>
      <c r="G31" s="46" t="s">
        <v>1172</v>
      </c>
      <c r="H31" s="46" t="s">
        <v>79</v>
      </c>
      <c r="I31" s="46" t="s">
        <v>1318</v>
      </c>
      <c r="J31" s="46" t="s">
        <v>1319</v>
      </c>
      <c r="K31" s="46" t="s">
        <v>1108</v>
      </c>
      <c r="L31" s="46" t="s">
        <v>1320</v>
      </c>
      <c r="M31" s="46" t="s">
        <v>1110</v>
      </c>
    </row>
    <row r="32" customFormat="false" ht="18" hidden="false" customHeight="true" outlineLevel="0" collapsed="false">
      <c r="A32" s="45" t="s">
        <v>364</v>
      </c>
      <c r="B32" s="46" t="s">
        <v>129</v>
      </c>
      <c r="C32" s="46" t="s">
        <v>1321</v>
      </c>
      <c r="D32" s="46" t="s">
        <v>1322</v>
      </c>
      <c r="E32" s="46" t="s">
        <v>362</v>
      </c>
      <c r="F32" s="46" t="s">
        <v>1323</v>
      </c>
      <c r="G32" s="46" t="s">
        <v>1201</v>
      </c>
      <c r="H32" s="46" t="s">
        <v>1173</v>
      </c>
      <c r="I32" s="46" t="s">
        <v>1324</v>
      </c>
      <c r="J32" s="46" t="s">
        <v>1325</v>
      </c>
      <c r="K32" s="46" t="s">
        <v>1149</v>
      </c>
      <c r="L32" s="46" t="s">
        <v>1326</v>
      </c>
      <c r="M32" s="46" t="s">
        <v>1132</v>
      </c>
    </row>
    <row r="33" customFormat="false" ht="18" hidden="false" customHeight="true" outlineLevel="0" collapsed="false">
      <c r="A33" s="45" t="s">
        <v>1327</v>
      </c>
      <c r="B33" s="46" t="s">
        <v>129</v>
      </c>
      <c r="C33" s="46" t="s">
        <v>1328</v>
      </c>
      <c r="D33" s="46" t="s">
        <v>1329</v>
      </c>
      <c r="E33" s="46" t="s">
        <v>519</v>
      </c>
      <c r="F33" s="46" t="s">
        <v>520</v>
      </c>
      <c r="G33" s="46" t="s">
        <v>1298</v>
      </c>
      <c r="H33" s="46" t="s">
        <v>1330</v>
      </c>
      <c r="I33" s="46" t="s">
        <v>1331</v>
      </c>
      <c r="J33" s="46" t="s">
        <v>1332</v>
      </c>
      <c r="K33" s="46" t="s">
        <v>1130</v>
      </c>
      <c r="L33" s="46" t="s">
        <v>1333</v>
      </c>
      <c r="M33" s="46" t="s">
        <v>1110</v>
      </c>
    </row>
    <row r="34" customFormat="false" ht="18" hidden="false" customHeight="true" outlineLevel="0" collapsed="false">
      <c r="A34" s="45" t="s">
        <v>591</v>
      </c>
      <c r="B34" s="46" t="s">
        <v>129</v>
      </c>
      <c r="C34" s="46" t="s">
        <v>1334</v>
      </c>
      <c r="D34" s="46" t="s">
        <v>1335</v>
      </c>
      <c r="E34" s="46" t="s">
        <v>589</v>
      </c>
      <c r="F34" s="46" t="s">
        <v>1336</v>
      </c>
      <c r="G34" s="46" t="s">
        <v>1337</v>
      </c>
      <c r="H34" s="46" t="s">
        <v>79</v>
      </c>
      <c r="I34" s="46" t="s">
        <v>1338</v>
      </c>
      <c r="J34" s="46" t="s">
        <v>1115</v>
      </c>
      <c r="K34" s="46" t="s">
        <v>1339</v>
      </c>
      <c r="L34" s="46" t="s">
        <v>1340</v>
      </c>
      <c r="M34" s="46" t="s">
        <v>1110</v>
      </c>
    </row>
    <row r="35" customFormat="false" ht="18" hidden="false" customHeight="true" outlineLevel="0" collapsed="false">
      <c r="A35" s="45" t="s">
        <v>398</v>
      </c>
      <c r="B35" s="46" t="s">
        <v>129</v>
      </c>
      <c r="C35" s="46" t="s">
        <v>1341</v>
      </c>
      <c r="D35" s="46" t="s">
        <v>1342</v>
      </c>
      <c r="E35" s="46" t="s">
        <v>396</v>
      </c>
      <c r="F35" s="46" t="s">
        <v>397</v>
      </c>
      <c r="G35" s="46" t="s">
        <v>150</v>
      </c>
      <c r="H35" s="46" t="s">
        <v>80</v>
      </c>
      <c r="I35" s="46" t="s">
        <v>1343</v>
      </c>
      <c r="J35" s="46" t="s">
        <v>1164</v>
      </c>
      <c r="K35" s="46" t="s">
        <v>1344</v>
      </c>
      <c r="L35" s="46" t="s">
        <v>1345</v>
      </c>
      <c r="M35" s="46" t="s">
        <v>1110</v>
      </c>
    </row>
    <row r="36" customFormat="false" ht="18" hidden="false" customHeight="true" outlineLevel="0" collapsed="false">
      <c r="A36" s="45" t="s">
        <v>1346</v>
      </c>
      <c r="B36" s="46" t="s">
        <v>129</v>
      </c>
      <c r="C36" s="46" t="s">
        <v>1347</v>
      </c>
      <c r="D36" s="46" t="s">
        <v>1348</v>
      </c>
      <c r="E36" s="46" t="s">
        <v>934</v>
      </c>
      <c r="F36" s="46" t="s">
        <v>1349</v>
      </c>
      <c r="G36" s="46" t="s">
        <v>1194</v>
      </c>
      <c r="H36" s="46" t="s">
        <v>79</v>
      </c>
      <c r="I36" s="46" t="s">
        <v>1350</v>
      </c>
      <c r="J36" s="46" t="s">
        <v>1351</v>
      </c>
      <c r="K36" s="46" t="s">
        <v>1130</v>
      </c>
      <c r="L36" s="46" t="s">
        <v>1352</v>
      </c>
      <c r="M36" s="46" t="s">
        <v>1110</v>
      </c>
    </row>
    <row r="37" customFormat="false" ht="18" hidden="false" customHeight="true" outlineLevel="0" collapsed="false">
      <c r="A37" s="45" t="s">
        <v>1353</v>
      </c>
      <c r="B37" s="46" t="s">
        <v>129</v>
      </c>
      <c r="C37" s="46" t="s">
        <v>1354</v>
      </c>
      <c r="D37" s="46" t="s">
        <v>1355</v>
      </c>
      <c r="E37" s="46" t="s">
        <v>656</v>
      </c>
      <c r="F37" s="46" t="s">
        <v>1356</v>
      </c>
      <c r="G37" s="46" t="s">
        <v>257</v>
      </c>
      <c r="H37" s="46" t="s">
        <v>81</v>
      </c>
      <c r="I37" s="46" t="s">
        <v>1357</v>
      </c>
      <c r="J37" s="46" t="s">
        <v>1358</v>
      </c>
      <c r="K37" s="46" t="s">
        <v>1108</v>
      </c>
      <c r="L37" s="46" t="s">
        <v>1359</v>
      </c>
      <c r="M37" s="46" t="s">
        <v>1110</v>
      </c>
    </row>
    <row r="38" customFormat="false" ht="18" hidden="false" customHeight="true" outlineLevel="0" collapsed="false">
      <c r="A38" s="45" t="s">
        <v>1360</v>
      </c>
      <c r="B38" s="46" t="s">
        <v>129</v>
      </c>
      <c r="C38" s="46" t="s">
        <v>1361</v>
      </c>
      <c r="D38" s="46" t="s">
        <v>1362</v>
      </c>
      <c r="E38" s="46" t="s">
        <v>1363</v>
      </c>
      <c r="F38" s="46" t="s">
        <v>1364</v>
      </c>
      <c r="G38" s="46" t="s">
        <v>1365</v>
      </c>
      <c r="H38" s="46" t="s">
        <v>82</v>
      </c>
      <c r="I38" s="46" t="s">
        <v>1366</v>
      </c>
      <c r="J38" s="46" t="s">
        <v>1367</v>
      </c>
      <c r="K38" s="46" t="s">
        <v>1140</v>
      </c>
      <c r="L38" s="46" t="s">
        <v>1368</v>
      </c>
      <c r="M38" s="46" t="s">
        <v>1110</v>
      </c>
    </row>
    <row r="39" customFormat="false" ht="18" hidden="false" customHeight="true" outlineLevel="0" collapsed="false">
      <c r="A39" s="45" t="s">
        <v>1093</v>
      </c>
      <c r="B39" s="46" t="s">
        <v>129</v>
      </c>
      <c r="C39" s="46" t="s">
        <v>1369</v>
      </c>
      <c r="D39" s="46" t="s">
        <v>1370</v>
      </c>
      <c r="E39" s="46" t="s">
        <v>1091</v>
      </c>
      <c r="F39" s="46" t="s">
        <v>1092</v>
      </c>
      <c r="G39" s="46" t="s">
        <v>1371</v>
      </c>
      <c r="H39" s="46" t="s">
        <v>1216</v>
      </c>
      <c r="I39" s="46" t="s">
        <v>1325</v>
      </c>
      <c r="J39" s="46" t="s">
        <v>1372</v>
      </c>
      <c r="K39" s="46" t="s">
        <v>1108</v>
      </c>
      <c r="L39" s="46" t="s">
        <v>1373</v>
      </c>
      <c r="M39" s="46" t="s">
        <v>1110</v>
      </c>
    </row>
    <row r="40" customFormat="false" ht="18" hidden="false" customHeight="true" outlineLevel="0" collapsed="false">
      <c r="A40" s="45" t="s">
        <v>1374</v>
      </c>
      <c r="B40" s="46" t="s">
        <v>129</v>
      </c>
      <c r="C40" s="46" t="s">
        <v>1375</v>
      </c>
      <c r="D40" s="46" t="s">
        <v>1169</v>
      </c>
      <c r="E40" s="46" t="s">
        <v>210</v>
      </c>
      <c r="F40" s="46" t="s">
        <v>211</v>
      </c>
      <c r="G40" s="46" t="s">
        <v>128</v>
      </c>
      <c r="H40" s="46" t="s">
        <v>1173</v>
      </c>
      <c r="I40" s="46" t="s">
        <v>1174</v>
      </c>
      <c r="J40" s="46" t="s">
        <v>1174</v>
      </c>
      <c r="K40" s="46" t="s">
        <v>1140</v>
      </c>
      <c r="L40" s="46" t="s">
        <v>1175</v>
      </c>
      <c r="M40" s="46" t="s">
        <v>1110</v>
      </c>
    </row>
    <row r="41" customFormat="false" ht="18" hidden="false" customHeight="true" outlineLevel="0" collapsed="false">
      <c r="A41" s="45" t="s">
        <v>270</v>
      </c>
      <c r="B41" s="46" t="s">
        <v>129</v>
      </c>
      <c r="C41" s="46" t="s">
        <v>1376</v>
      </c>
      <c r="D41" s="46" t="s">
        <v>1377</v>
      </c>
      <c r="E41" s="46" t="s">
        <v>268</v>
      </c>
      <c r="F41" s="46" t="s">
        <v>1378</v>
      </c>
      <c r="G41" s="46" t="s">
        <v>1146</v>
      </c>
      <c r="H41" s="46" t="s">
        <v>1257</v>
      </c>
      <c r="I41" s="46" t="s">
        <v>1379</v>
      </c>
      <c r="J41" s="46" t="s">
        <v>1380</v>
      </c>
      <c r="K41" s="46" t="s">
        <v>1381</v>
      </c>
      <c r="L41" s="46" t="s">
        <v>1382</v>
      </c>
      <c r="M41" s="46" t="s">
        <v>1110</v>
      </c>
    </row>
    <row r="42" customFormat="false" ht="18" hidden="false" customHeight="true" outlineLevel="0" collapsed="false">
      <c r="A42" s="45" t="s">
        <v>1022</v>
      </c>
      <c r="B42" s="46" t="s">
        <v>129</v>
      </c>
      <c r="C42" s="46" t="s">
        <v>1383</v>
      </c>
      <c r="D42" s="46" t="s">
        <v>1384</v>
      </c>
      <c r="E42" s="46" t="s">
        <v>1020</v>
      </c>
      <c r="F42" s="46" t="s">
        <v>1021</v>
      </c>
      <c r="G42" s="46" t="s">
        <v>1235</v>
      </c>
      <c r="H42" s="46" t="s">
        <v>80</v>
      </c>
      <c r="I42" s="46" t="s">
        <v>1385</v>
      </c>
      <c r="J42" s="46" t="s">
        <v>1385</v>
      </c>
      <c r="K42" s="46" t="s">
        <v>1140</v>
      </c>
      <c r="L42" s="46" t="s">
        <v>1386</v>
      </c>
      <c r="M42" s="46" t="s">
        <v>1110</v>
      </c>
    </row>
    <row r="43" customFormat="false" ht="18" hidden="false" customHeight="true" outlineLevel="0" collapsed="false">
      <c r="A43" s="45" t="s">
        <v>579</v>
      </c>
      <c r="B43" s="46" t="s">
        <v>129</v>
      </c>
      <c r="C43" s="46" t="s">
        <v>1387</v>
      </c>
      <c r="D43" s="46" t="s">
        <v>1388</v>
      </c>
      <c r="E43" s="46" t="s">
        <v>577</v>
      </c>
      <c r="F43" s="46" t="s">
        <v>578</v>
      </c>
      <c r="G43" s="46" t="s">
        <v>81</v>
      </c>
      <c r="H43" s="46" t="s">
        <v>1389</v>
      </c>
      <c r="I43" s="46" t="s">
        <v>1390</v>
      </c>
      <c r="J43" s="46" t="s">
        <v>1391</v>
      </c>
      <c r="K43" s="46" t="s">
        <v>1108</v>
      </c>
      <c r="L43" s="46" t="s">
        <v>1392</v>
      </c>
      <c r="M43" s="46" t="s">
        <v>1110</v>
      </c>
    </row>
    <row r="44" customFormat="false" ht="18" hidden="false" customHeight="true" outlineLevel="0" collapsed="false">
      <c r="A44" s="45" t="s">
        <v>541</v>
      </c>
      <c r="B44" s="46" t="s">
        <v>129</v>
      </c>
      <c r="C44" s="46" t="s">
        <v>1393</v>
      </c>
      <c r="D44" s="46" t="s">
        <v>1394</v>
      </c>
      <c r="E44" s="46" t="s">
        <v>1395</v>
      </c>
      <c r="F44" s="46" t="s">
        <v>540</v>
      </c>
      <c r="G44" s="46" t="s">
        <v>163</v>
      </c>
      <c r="H44" s="46" t="s">
        <v>1162</v>
      </c>
      <c r="I44" s="46" t="s">
        <v>1396</v>
      </c>
      <c r="J44" s="46" t="s">
        <v>1397</v>
      </c>
      <c r="K44" s="46" t="s">
        <v>1149</v>
      </c>
      <c r="L44" s="46" t="s">
        <v>1398</v>
      </c>
      <c r="M44" s="46" t="s">
        <v>1110</v>
      </c>
    </row>
    <row r="45" customFormat="false" ht="18" hidden="false" customHeight="true" outlineLevel="0" collapsed="false">
      <c r="A45" s="45" t="s">
        <v>1068</v>
      </c>
      <c r="B45" s="46" t="s">
        <v>129</v>
      </c>
      <c r="C45" s="46" t="s">
        <v>1399</v>
      </c>
      <c r="D45" s="46" t="s">
        <v>1400</v>
      </c>
      <c r="E45" s="46" t="s">
        <v>1066</v>
      </c>
      <c r="F45" s="46" t="s">
        <v>1401</v>
      </c>
      <c r="G45" s="46" t="s">
        <v>1172</v>
      </c>
      <c r="H45" s="46" t="s">
        <v>79</v>
      </c>
      <c r="I45" s="46" t="s">
        <v>1402</v>
      </c>
      <c r="J45" s="46" t="s">
        <v>1403</v>
      </c>
      <c r="K45" s="46" t="s">
        <v>1108</v>
      </c>
      <c r="L45" s="46" t="s">
        <v>1404</v>
      </c>
      <c r="M45" s="46" t="s">
        <v>1110</v>
      </c>
    </row>
    <row r="46" customFormat="false" ht="18" hidden="false" customHeight="true" outlineLevel="0" collapsed="false">
      <c r="A46" s="45" t="s">
        <v>152</v>
      </c>
      <c r="B46" s="46" t="s">
        <v>129</v>
      </c>
      <c r="C46" s="46" t="s">
        <v>1405</v>
      </c>
      <c r="D46" s="46" t="s">
        <v>1406</v>
      </c>
      <c r="E46" s="46" t="s">
        <v>148</v>
      </c>
      <c r="F46" s="46" t="s">
        <v>1407</v>
      </c>
      <c r="G46" s="46" t="s">
        <v>150</v>
      </c>
      <c r="H46" s="46" t="s">
        <v>80</v>
      </c>
      <c r="I46" s="46" t="s">
        <v>1408</v>
      </c>
      <c r="J46" s="46" t="s">
        <v>1409</v>
      </c>
      <c r="K46" s="46" t="s">
        <v>1272</v>
      </c>
      <c r="L46" s="46" t="s">
        <v>1410</v>
      </c>
      <c r="M46" s="46" t="s">
        <v>1110</v>
      </c>
    </row>
    <row r="47" customFormat="false" ht="18" hidden="false" customHeight="true" outlineLevel="0" collapsed="false">
      <c r="A47" s="45" t="s">
        <v>932</v>
      </c>
      <c r="B47" s="46" t="s">
        <v>129</v>
      </c>
      <c r="C47" s="46" t="s">
        <v>1411</v>
      </c>
      <c r="D47" s="46" t="s">
        <v>1412</v>
      </c>
      <c r="E47" s="46" t="s">
        <v>930</v>
      </c>
      <c r="F47" s="46" t="s">
        <v>1413</v>
      </c>
      <c r="G47" s="46" t="s">
        <v>128</v>
      </c>
      <c r="H47" s="46" t="s">
        <v>1137</v>
      </c>
      <c r="I47" s="46" t="s">
        <v>1414</v>
      </c>
      <c r="J47" s="46" t="s">
        <v>1415</v>
      </c>
      <c r="K47" s="46" t="s">
        <v>1108</v>
      </c>
      <c r="L47" s="46" t="s">
        <v>1416</v>
      </c>
      <c r="M47" s="46" t="s">
        <v>1132</v>
      </c>
    </row>
    <row r="48" customFormat="false" ht="18" hidden="false" customHeight="true" outlineLevel="0" collapsed="false">
      <c r="A48" s="45" t="s">
        <v>1417</v>
      </c>
      <c r="B48" s="46" t="s">
        <v>129</v>
      </c>
      <c r="C48" s="46" t="s">
        <v>1418</v>
      </c>
      <c r="D48" s="46" t="s">
        <v>1419</v>
      </c>
      <c r="E48" s="46" t="s">
        <v>380</v>
      </c>
      <c r="F48" s="46" t="s">
        <v>1420</v>
      </c>
      <c r="G48" s="46" t="s">
        <v>128</v>
      </c>
      <c r="H48" s="46" t="s">
        <v>79</v>
      </c>
      <c r="I48" s="46" t="s">
        <v>1421</v>
      </c>
      <c r="J48" s="46" t="s">
        <v>1422</v>
      </c>
      <c r="K48" s="46" t="s">
        <v>1108</v>
      </c>
      <c r="L48" s="46" t="s">
        <v>1423</v>
      </c>
      <c r="M48" s="46" t="s">
        <v>1110</v>
      </c>
    </row>
    <row r="49" customFormat="false" ht="18" hidden="false" customHeight="true" outlineLevel="0" collapsed="false">
      <c r="A49" s="45" t="s">
        <v>484</v>
      </c>
      <c r="B49" s="46" t="s">
        <v>129</v>
      </c>
      <c r="C49" s="46" t="s">
        <v>1424</v>
      </c>
      <c r="D49" s="46" t="s">
        <v>1425</v>
      </c>
      <c r="E49" s="46" t="s">
        <v>1426</v>
      </c>
      <c r="F49" s="46" t="s">
        <v>1427</v>
      </c>
      <c r="G49" s="46" t="s">
        <v>150</v>
      </c>
      <c r="H49" s="46" t="s">
        <v>1236</v>
      </c>
      <c r="I49" s="46" t="s">
        <v>1428</v>
      </c>
      <c r="J49" s="46" t="s">
        <v>1429</v>
      </c>
      <c r="K49" s="46" t="s">
        <v>1381</v>
      </c>
      <c r="L49" s="46" t="s">
        <v>1430</v>
      </c>
      <c r="M49" s="46" t="s">
        <v>1110</v>
      </c>
    </row>
    <row r="50" customFormat="false" ht="18" hidden="false" customHeight="true" outlineLevel="0" collapsed="false">
      <c r="A50" s="45" t="s">
        <v>1431</v>
      </c>
      <c r="B50" s="46" t="s">
        <v>129</v>
      </c>
      <c r="C50" s="46" t="s">
        <v>1432</v>
      </c>
      <c r="D50" s="46" t="s">
        <v>1433</v>
      </c>
      <c r="E50" s="46" t="s">
        <v>1434</v>
      </c>
      <c r="F50" s="46" t="s">
        <v>222</v>
      </c>
      <c r="G50" s="46" t="s">
        <v>128</v>
      </c>
      <c r="H50" s="46" t="s">
        <v>79</v>
      </c>
      <c r="I50" s="46" t="s">
        <v>1435</v>
      </c>
      <c r="J50" s="46" t="s">
        <v>1436</v>
      </c>
      <c r="K50" s="46" t="s">
        <v>1130</v>
      </c>
      <c r="L50" s="46" t="s">
        <v>1437</v>
      </c>
      <c r="M50" s="46" t="s">
        <v>1110</v>
      </c>
    </row>
    <row r="51" customFormat="false" ht="18" hidden="false" customHeight="true" outlineLevel="0" collapsed="false">
      <c r="A51" s="45" t="s">
        <v>615</v>
      </c>
      <c r="B51" s="46" t="s">
        <v>129</v>
      </c>
      <c r="C51" s="46" t="s">
        <v>1438</v>
      </c>
      <c r="D51" s="46" t="s">
        <v>1439</v>
      </c>
      <c r="E51" s="46" t="s">
        <v>613</v>
      </c>
      <c r="F51" s="46" t="s">
        <v>1440</v>
      </c>
      <c r="G51" s="46" t="s">
        <v>128</v>
      </c>
      <c r="H51" s="46" t="s">
        <v>1173</v>
      </c>
      <c r="I51" s="46" t="s">
        <v>1441</v>
      </c>
      <c r="J51" s="46" t="s">
        <v>1442</v>
      </c>
      <c r="K51" s="46" t="s">
        <v>1130</v>
      </c>
      <c r="L51" s="46" t="s">
        <v>1443</v>
      </c>
      <c r="M51" s="46" t="s">
        <v>1110</v>
      </c>
    </row>
    <row r="52" customFormat="false" ht="18" hidden="false" customHeight="true" outlineLevel="0" collapsed="false">
      <c r="A52" s="45" t="s">
        <v>893</v>
      </c>
      <c r="B52" s="46" t="s">
        <v>129</v>
      </c>
      <c r="C52" s="46" t="s">
        <v>1444</v>
      </c>
      <c r="D52" s="46" t="s">
        <v>1445</v>
      </c>
      <c r="E52" s="46" t="s">
        <v>891</v>
      </c>
      <c r="F52" s="46" t="s">
        <v>1446</v>
      </c>
      <c r="G52" s="46" t="s">
        <v>324</v>
      </c>
      <c r="H52" s="46" t="s">
        <v>80</v>
      </c>
      <c r="I52" s="46" t="s">
        <v>1447</v>
      </c>
      <c r="J52" s="46" t="s">
        <v>1422</v>
      </c>
      <c r="K52" s="46" t="s">
        <v>1149</v>
      </c>
      <c r="L52" s="46" t="s">
        <v>1448</v>
      </c>
      <c r="M52" s="46" t="s">
        <v>1110</v>
      </c>
    </row>
    <row r="53" customFormat="false" ht="18" hidden="false" customHeight="true" outlineLevel="0" collapsed="false">
      <c r="A53" s="45" t="s">
        <v>138</v>
      </c>
      <c r="B53" s="46" t="s">
        <v>129</v>
      </c>
      <c r="C53" s="46" t="s">
        <v>1449</v>
      </c>
      <c r="D53" s="46" t="s">
        <v>1450</v>
      </c>
      <c r="E53" s="46" t="s">
        <v>135</v>
      </c>
      <c r="F53" s="46" t="s">
        <v>136</v>
      </c>
      <c r="G53" s="46" t="s">
        <v>1146</v>
      </c>
      <c r="H53" s="46" t="s">
        <v>1257</v>
      </c>
      <c r="I53" s="46" t="s">
        <v>1451</v>
      </c>
      <c r="J53" s="46" t="s">
        <v>1452</v>
      </c>
      <c r="K53" s="46" t="s">
        <v>1130</v>
      </c>
      <c r="L53" s="46" t="s">
        <v>1453</v>
      </c>
      <c r="M53" s="46" t="s">
        <v>1132</v>
      </c>
    </row>
    <row r="54" customFormat="false" ht="18" hidden="false" customHeight="true" outlineLevel="0" collapsed="false">
      <c r="A54" s="45" t="s">
        <v>977</v>
      </c>
      <c r="B54" s="46" t="s">
        <v>129</v>
      </c>
      <c r="C54" s="46" t="s">
        <v>1454</v>
      </c>
      <c r="D54" s="46" t="s">
        <v>1455</v>
      </c>
      <c r="E54" s="46" t="s">
        <v>975</v>
      </c>
      <c r="F54" s="46" t="s">
        <v>1456</v>
      </c>
      <c r="G54" s="46" t="s">
        <v>170</v>
      </c>
      <c r="H54" s="46" t="s">
        <v>82</v>
      </c>
      <c r="I54" s="46" t="s">
        <v>1457</v>
      </c>
      <c r="J54" s="46" t="s">
        <v>1458</v>
      </c>
      <c r="K54" s="46" t="s">
        <v>1272</v>
      </c>
      <c r="L54" s="46" t="s">
        <v>1459</v>
      </c>
      <c r="M54" s="46" t="s">
        <v>1110</v>
      </c>
    </row>
    <row r="55" customFormat="false" ht="18" hidden="false" customHeight="true" outlineLevel="0" collapsed="false">
      <c r="A55" s="45" t="s">
        <v>822</v>
      </c>
      <c r="B55" s="46" t="s">
        <v>129</v>
      </c>
      <c r="C55" s="46" t="s">
        <v>1460</v>
      </c>
      <c r="D55" s="46" t="s">
        <v>1461</v>
      </c>
      <c r="E55" s="46" t="s">
        <v>1462</v>
      </c>
      <c r="F55" s="46" t="s">
        <v>1463</v>
      </c>
      <c r="G55" s="46" t="s">
        <v>81</v>
      </c>
      <c r="H55" s="46" t="s">
        <v>81</v>
      </c>
      <c r="I55" s="46" t="s">
        <v>1464</v>
      </c>
      <c r="J55" s="46" t="s">
        <v>1465</v>
      </c>
      <c r="K55" s="46" t="s">
        <v>1182</v>
      </c>
      <c r="L55" s="46" t="s">
        <v>1466</v>
      </c>
      <c r="M55" s="46" t="s">
        <v>1110</v>
      </c>
    </row>
    <row r="56" customFormat="false" ht="18" hidden="false" customHeight="true" outlineLevel="0" collapsed="false">
      <c r="A56" s="45" t="s">
        <v>1467</v>
      </c>
      <c r="B56" s="46" t="s">
        <v>129</v>
      </c>
      <c r="C56" s="46" t="s">
        <v>1468</v>
      </c>
      <c r="D56" s="46" t="s">
        <v>1469</v>
      </c>
      <c r="E56" s="46" t="s">
        <v>472</v>
      </c>
      <c r="F56" s="46" t="s">
        <v>1470</v>
      </c>
      <c r="G56" s="46" t="s">
        <v>128</v>
      </c>
      <c r="H56" s="46" t="s">
        <v>79</v>
      </c>
      <c r="I56" s="46" t="s">
        <v>1471</v>
      </c>
      <c r="J56" s="46" t="s">
        <v>1472</v>
      </c>
      <c r="K56" s="46" t="s">
        <v>1140</v>
      </c>
      <c r="L56" s="46" t="s">
        <v>1473</v>
      </c>
      <c r="M56" s="46" t="s">
        <v>1132</v>
      </c>
    </row>
    <row r="57" customFormat="false" ht="18" hidden="false" customHeight="true" outlineLevel="0" collapsed="false">
      <c r="A57" s="45" t="s">
        <v>849</v>
      </c>
      <c r="B57" s="46" t="s">
        <v>129</v>
      </c>
      <c r="C57" s="46" t="s">
        <v>1474</v>
      </c>
      <c r="D57" s="46" t="s">
        <v>1475</v>
      </c>
      <c r="E57" s="46" t="s">
        <v>847</v>
      </c>
      <c r="F57" s="46" t="s">
        <v>848</v>
      </c>
      <c r="G57" s="46" t="s">
        <v>1179</v>
      </c>
      <c r="H57" s="46" t="s">
        <v>1236</v>
      </c>
      <c r="I57" s="46" t="s">
        <v>1476</v>
      </c>
      <c r="J57" s="46" t="s">
        <v>1477</v>
      </c>
      <c r="K57" s="46" t="s">
        <v>1108</v>
      </c>
      <c r="L57" s="46" t="s">
        <v>1478</v>
      </c>
      <c r="M57" s="46" t="s">
        <v>1110</v>
      </c>
    </row>
    <row r="58" customFormat="false" ht="18" hidden="false" customHeight="true" outlineLevel="0" collapsed="false">
      <c r="A58" s="45" t="s">
        <v>854</v>
      </c>
      <c r="B58" s="46" t="s">
        <v>129</v>
      </c>
      <c r="C58" s="46" t="s">
        <v>1479</v>
      </c>
      <c r="D58" s="46" t="s">
        <v>1480</v>
      </c>
      <c r="E58" s="46" t="s">
        <v>1481</v>
      </c>
      <c r="F58" s="46" t="s">
        <v>853</v>
      </c>
      <c r="G58" s="46" t="s">
        <v>1482</v>
      </c>
      <c r="H58" s="46" t="s">
        <v>1243</v>
      </c>
      <c r="I58" s="46" t="s">
        <v>1483</v>
      </c>
      <c r="J58" s="46" t="s">
        <v>1484</v>
      </c>
      <c r="K58" s="46" t="s">
        <v>1224</v>
      </c>
      <c r="L58" s="46" t="s">
        <v>1485</v>
      </c>
      <c r="M58" s="46" t="s">
        <v>1132</v>
      </c>
    </row>
    <row r="59" customFormat="false" ht="18" hidden="false" customHeight="true" outlineLevel="0" collapsed="false">
      <c r="A59" s="45" t="s">
        <v>994</v>
      </c>
      <c r="B59" s="46" t="s">
        <v>129</v>
      </c>
      <c r="C59" s="46" t="s">
        <v>1486</v>
      </c>
      <c r="D59" s="46" t="s">
        <v>1487</v>
      </c>
      <c r="E59" s="46" t="s">
        <v>992</v>
      </c>
      <c r="F59" s="46" t="s">
        <v>1488</v>
      </c>
      <c r="G59" s="46" t="s">
        <v>257</v>
      </c>
      <c r="H59" s="46" t="s">
        <v>1489</v>
      </c>
      <c r="I59" s="46" t="s">
        <v>1490</v>
      </c>
      <c r="J59" s="46" t="s">
        <v>1403</v>
      </c>
      <c r="K59" s="46" t="s">
        <v>1130</v>
      </c>
      <c r="L59" s="46" t="s">
        <v>1491</v>
      </c>
      <c r="M59" s="46" t="s">
        <v>1110</v>
      </c>
    </row>
    <row r="60" customFormat="false" ht="18" hidden="false" customHeight="true" outlineLevel="0" collapsed="false">
      <c r="A60" s="45" t="s">
        <v>1492</v>
      </c>
      <c r="B60" s="46" t="s">
        <v>129</v>
      </c>
      <c r="C60" s="46" t="s">
        <v>1493</v>
      </c>
      <c r="D60" s="46" t="s">
        <v>1494</v>
      </c>
      <c r="E60" s="46" t="s">
        <v>979</v>
      </c>
      <c r="F60" s="46" t="s">
        <v>1495</v>
      </c>
      <c r="G60" s="46" t="s">
        <v>1496</v>
      </c>
      <c r="H60" s="46" t="s">
        <v>84</v>
      </c>
      <c r="I60" s="46" t="s">
        <v>1497</v>
      </c>
      <c r="J60" s="46" t="s">
        <v>1498</v>
      </c>
      <c r="K60" s="46" t="s">
        <v>1224</v>
      </c>
      <c r="L60" s="46" t="s">
        <v>1499</v>
      </c>
      <c r="M60" s="46" t="s">
        <v>1110</v>
      </c>
    </row>
    <row r="61" customFormat="false" ht="18" hidden="false" customHeight="true" outlineLevel="0" collapsed="false">
      <c r="A61" s="45" t="s">
        <v>1500</v>
      </c>
      <c r="B61" s="46" t="s">
        <v>129</v>
      </c>
      <c r="C61" s="46" t="s">
        <v>1501</v>
      </c>
      <c r="D61" s="46" t="s">
        <v>1502</v>
      </c>
      <c r="E61" s="46" t="s">
        <v>1503</v>
      </c>
      <c r="F61" s="46" t="s">
        <v>1504</v>
      </c>
      <c r="G61" s="46" t="s">
        <v>1505</v>
      </c>
      <c r="H61" s="46" t="s">
        <v>1257</v>
      </c>
      <c r="I61" s="46" t="s">
        <v>1506</v>
      </c>
      <c r="J61" s="46" t="s">
        <v>1507</v>
      </c>
      <c r="K61" s="46" t="s">
        <v>1108</v>
      </c>
      <c r="L61" s="46" t="s">
        <v>1508</v>
      </c>
      <c r="M61" s="46" t="s">
        <v>1132</v>
      </c>
    </row>
    <row r="62" customFormat="false" ht="18" hidden="false" customHeight="true" outlineLevel="0" collapsed="false">
      <c r="A62" s="45" t="s">
        <v>387</v>
      </c>
      <c r="B62" s="46" t="s">
        <v>129</v>
      </c>
      <c r="C62" s="46" t="s">
        <v>1509</v>
      </c>
      <c r="D62" s="46" t="s">
        <v>1510</v>
      </c>
      <c r="E62" s="46" t="s">
        <v>385</v>
      </c>
      <c r="F62" s="46" t="s">
        <v>386</v>
      </c>
      <c r="G62" s="46" t="s">
        <v>1201</v>
      </c>
      <c r="H62" s="46" t="s">
        <v>79</v>
      </c>
      <c r="I62" s="46" t="s">
        <v>1511</v>
      </c>
      <c r="J62" s="46" t="s">
        <v>1512</v>
      </c>
      <c r="K62" s="46" t="s">
        <v>1513</v>
      </c>
      <c r="L62" s="46" t="s">
        <v>1514</v>
      </c>
      <c r="M62" s="46" t="s">
        <v>1110</v>
      </c>
    </row>
    <row r="63" customFormat="false" ht="18" hidden="false" customHeight="true" outlineLevel="0" collapsed="false">
      <c r="A63" s="45" t="s">
        <v>641</v>
      </c>
      <c r="B63" s="46" t="s">
        <v>129</v>
      </c>
      <c r="C63" s="46" t="s">
        <v>1515</v>
      </c>
      <c r="D63" s="46" t="s">
        <v>1516</v>
      </c>
      <c r="E63" s="46" t="s">
        <v>639</v>
      </c>
      <c r="F63" s="46" t="s">
        <v>640</v>
      </c>
      <c r="G63" s="46" t="s">
        <v>150</v>
      </c>
      <c r="H63" s="46" t="s">
        <v>1330</v>
      </c>
      <c r="I63" s="46" t="s">
        <v>1517</v>
      </c>
      <c r="J63" s="46" t="s">
        <v>1518</v>
      </c>
      <c r="K63" s="46" t="s">
        <v>1130</v>
      </c>
      <c r="L63" s="46" t="s">
        <v>1519</v>
      </c>
      <c r="M63" s="46" t="s">
        <v>1132</v>
      </c>
    </row>
    <row r="64" customFormat="false" ht="18" hidden="false" customHeight="true" outlineLevel="0" collapsed="false">
      <c r="A64" s="45" t="s">
        <v>307</v>
      </c>
      <c r="B64" s="46" t="s">
        <v>129</v>
      </c>
      <c r="C64" s="46" t="s">
        <v>1520</v>
      </c>
      <c r="D64" s="46" t="s">
        <v>1521</v>
      </c>
      <c r="E64" s="46" t="s">
        <v>1522</v>
      </c>
      <c r="F64" s="46" t="s">
        <v>1523</v>
      </c>
      <c r="G64" s="46" t="s">
        <v>1172</v>
      </c>
      <c r="H64" s="46" t="s">
        <v>1162</v>
      </c>
      <c r="I64" s="46" t="s">
        <v>1524</v>
      </c>
      <c r="J64" s="46" t="s">
        <v>1525</v>
      </c>
      <c r="K64" s="46" t="s">
        <v>1381</v>
      </c>
      <c r="L64" s="46" t="s">
        <v>1526</v>
      </c>
      <c r="M64" s="46" t="s">
        <v>1110</v>
      </c>
    </row>
    <row r="65" customFormat="false" ht="18" hidden="false" customHeight="true" outlineLevel="0" collapsed="false">
      <c r="A65" s="45" t="s">
        <v>923</v>
      </c>
      <c r="B65" s="46" t="s">
        <v>129</v>
      </c>
      <c r="C65" s="46" t="s">
        <v>1527</v>
      </c>
      <c r="D65" s="46" t="s">
        <v>1528</v>
      </c>
      <c r="E65" s="46" t="s">
        <v>1529</v>
      </c>
      <c r="F65" s="46" t="s">
        <v>1530</v>
      </c>
      <c r="G65" s="46" t="s">
        <v>1179</v>
      </c>
      <c r="H65" s="46" t="s">
        <v>80</v>
      </c>
      <c r="I65" s="46" t="s">
        <v>1531</v>
      </c>
      <c r="J65" s="46" t="s">
        <v>1532</v>
      </c>
      <c r="K65" s="46" t="s">
        <v>1108</v>
      </c>
      <c r="L65" s="46" t="s">
        <v>1533</v>
      </c>
      <c r="M65" s="46" t="s">
        <v>1110</v>
      </c>
    </row>
    <row r="66" customFormat="false" ht="18" hidden="false" customHeight="true" outlineLevel="0" collapsed="false">
      <c r="A66" s="45" t="s">
        <v>911</v>
      </c>
      <c r="B66" s="46" t="s">
        <v>129</v>
      </c>
      <c r="C66" s="46" t="s">
        <v>1534</v>
      </c>
      <c r="D66" s="46" t="s">
        <v>1535</v>
      </c>
      <c r="E66" s="46" t="s">
        <v>1536</v>
      </c>
      <c r="F66" s="46" t="s">
        <v>910</v>
      </c>
      <c r="G66" s="46" t="s">
        <v>1537</v>
      </c>
      <c r="H66" s="46" t="s">
        <v>1216</v>
      </c>
      <c r="I66" s="46" t="s">
        <v>1538</v>
      </c>
      <c r="J66" s="46" t="s">
        <v>1539</v>
      </c>
      <c r="K66" s="46" t="s">
        <v>1149</v>
      </c>
      <c r="L66" s="46" t="s">
        <v>1225</v>
      </c>
      <c r="M66" s="46" t="s">
        <v>1110</v>
      </c>
    </row>
    <row r="67" customFormat="false" ht="18" hidden="false" customHeight="true" outlineLevel="0" collapsed="false">
      <c r="A67" s="45" t="s">
        <v>1540</v>
      </c>
      <c r="B67" s="46" t="s">
        <v>129</v>
      </c>
      <c r="C67" s="46" t="s">
        <v>1541</v>
      </c>
      <c r="D67" s="46" t="s">
        <v>1542</v>
      </c>
      <c r="E67" s="46" t="s">
        <v>836</v>
      </c>
      <c r="F67" s="46" t="s">
        <v>1543</v>
      </c>
      <c r="G67" s="46" t="s">
        <v>1544</v>
      </c>
      <c r="H67" s="46" t="s">
        <v>1243</v>
      </c>
      <c r="I67" s="46" t="s">
        <v>1545</v>
      </c>
      <c r="J67" s="46" t="s">
        <v>1230</v>
      </c>
      <c r="K67" s="46" t="s">
        <v>1546</v>
      </c>
      <c r="L67" s="46" t="s">
        <v>1547</v>
      </c>
      <c r="M67" s="46" t="s">
        <v>1110</v>
      </c>
    </row>
    <row r="68" customFormat="false" ht="18" hidden="false" customHeight="true" outlineLevel="0" collapsed="false">
      <c r="A68" s="45" t="s">
        <v>872</v>
      </c>
      <c r="B68" s="46" t="s">
        <v>129</v>
      </c>
      <c r="C68" s="46" t="s">
        <v>1548</v>
      </c>
      <c r="D68" s="46" t="s">
        <v>1549</v>
      </c>
      <c r="E68" s="46" t="s">
        <v>1550</v>
      </c>
      <c r="F68" s="46" t="s">
        <v>1551</v>
      </c>
      <c r="G68" s="46" t="s">
        <v>128</v>
      </c>
      <c r="H68" s="46" t="s">
        <v>1162</v>
      </c>
      <c r="I68" s="46" t="s">
        <v>1552</v>
      </c>
      <c r="J68" s="46" t="s">
        <v>1553</v>
      </c>
      <c r="K68" s="46" t="s">
        <v>1513</v>
      </c>
      <c r="L68" s="46" t="s">
        <v>1554</v>
      </c>
      <c r="M68" s="46" t="s">
        <v>1110</v>
      </c>
    </row>
    <row r="69" customFormat="false" ht="18" hidden="false" customHeight="true" outlineLevel="0" collapsed="false">
      <c r="A69" s="45" t="s">
        <v>730</v>
      </c>
      <c r="B69" s="46" t="s">
        <v>129</v>
      </c>
      <c r="C69" s="46" t="s">
        <v>1555</v>
      </c>
      <c r="D69" s="46" t="s">
        <v>1556</v>
      </c>
      <c r="E69" s="46" t="s">
        <v>728</v>
      </c>
      <c r="F69" s="46" t="s">
        <v>1557</v>
      </c>
      <c r="G69" s="46" t="s">
        <v>257</v>
      </c>
      <c r="H69" s="46" t="s">
        <v>81</v>
      </c>
      <c r="I69" s="46" t="s">
        <v>1558</v>
      </c>
      <c r="J69" s="46" t="s">
        <v>1559</v>
      </c>
      <c r="K69" s="46" t="s">
        <v>1165</v>
      </c>
      <c r="L69" s="46" t="s">
        <v>1560</v>
      </c>
      <c r="M69" s="46" t="s">
        <v>1132</v>
      </c>
    </row>
    <row r="70" customFormat="false" ht="18" hidden="false" customHeight="true" outlineLevel="0" collapsed="false">
      <c r="A70" s="45" t="s">
        <v>176</v>
      </c>
      <c r="B70" s="46" t="s">
        <v>129</v>
      </c>
      <c r="C70" s="46" t="s">
        <v>1561</v>
      </c>
      <c r="D70" s="46" t="s">
        <v>1562</v>
      </c>
      <c r="E70" s="46" t="s">
        <v>174</v>
      </c>
      <c r="F70" s="46" t="s">
        <v>1563</v>
      </c>
      <c r="G70" s="46" t="s">
        <v>1564</v>
      </c>
      <c r="H70" s="46" t="s">
        <v>1236</v>
      </c>
      <c r="I70" s="46" t="s">
        <v>1565</v>
      </c>
      <c r="J70" s="46" t="s">
        <v>1566</v>
      </c>
      <c r="K70" s="46" t="s">
        <v>1567</v>
      </c>
      <c r="L70" s="46" t="s">
        <v>1568</v>
      </c>
      <c r="M70" s="46" t="s">
        <v>1132</v>
      </c>
    </row>
    <row r="71" customFormat="false" ht="18" hidden="false" customHeight="true" outlineLevel="0" collapsed="false">
      <c r="A71" s="45" t="s">
        <v>666</v>
      </c>
      <c r="B71" s="46" t="s">
        <v>129</v>
      </c>
      <c r="C71" s="46" t="s">
        <v>1569</v>
      </c>
      <c r="D71" s="46" t="s">
        <v>1570</v>
      </c>
      <c r="E71" s="46" t="s">
        <v>664</v>
      </c>
      <c r="F71" s="46" t="s">
        <v>1571</v>
      </c>
      <c r="G71" s="46" t="s">
        <v>150</v>
      </c>
      <c r="H71" s="46" t="s">
        <v>80</v>
      </c>
      <c r="I71" s="46" t="s">
        <v>1572</v>
      </c>
      <c r="J71" s="46" t="s">
        <v>1573</v>
      </c>
      <c r="K71" s="46" t="s">
        <v>1381</v>
      </c>
      <c r="L71" s="46" t="s">
        <v>1574</v>
      </c>
      <c r="M71" s="46" t="s">
        <v>1132</v>
      </c>
    </row>
    <row r="72" customFormat="false" ht="18" hidden="false" customHeight="true" outlineLevel="0" collapsed="false">
      <c r="A72" s="45" t="s">
        <v>739</v>
      </c>
      <c r="B72" s="46" t="s">
        <v>129</v>
      </c>
      <c r="C72" s="46" t="s">
        <v>1575</v>
      </c>
      <c r="D72" s="46" t="s">
        <v>1576</v>
      </c>
      <c r="E72" s="46" t="s">
        <v>737</v>
      </c>
      <c r="F72" s="46" t="s">
        <v>738</v>
      </c>
      <c r="G72" s="46" t="s">
        <v>1577</v>
      </c>
      <c r="H72" s="46" t="s">
        <v>79</v>
      </c>
      <c r="I72" s="46" t="s">
        <v>1578</v>
      </c>
      <c r="J72" s="46" t="s">
        <v>1579</v>
      </c>
      <c r="K72" s="46" t="s">
        <v>1272</v>
      </c>
      <c r="L72" s="46" t="s">
        <v>1580</v>
      </c>
      <c r="M72" s="46" t="s">
        <v>1110</v>
      </c>
    </row>
    <row r="73" customFormat="false" ht="18" hidden="false" customHeight="true" outlineLevel="0" collapsed="false">
      <c r="A73" s="45" t="s">
        <v>1581</v>
      </c>
      <c r="B73" s="46" t="s">
        <v>129</v>
      </c>
      <c r="C73" s="46" t="s">
        <v>1582</v>
      </c>
      <c r="D73" s="46" t="s">
        <v>1583</v>
      </c>
      <c r="E73" s="46" t="s">
        <v>451</v>
      </c>
      <c r="F73" s="46" t="s">
        <v>1584</v>
      </c>
      <c r="G73" s="46" t="s">
        <v>170</v>
      </c>
      <c r="H73" s="46" t="s">
        <v>1585</v>
      </c>
      <c r="I73" s="46" t="s">
        <v>1195</v>
      </c>
      <c r="J73" s="46" t="s">
        <v>1128</v>
      </c>
      <c r="K73" s="46" t="s">
        <v>1272</v>
      </c>
      <c r="L73" s="46" t="s">
        <v>1586</v>
      </c>
      <c r="M73" s="46" t="s">
        <v>1110</v>
      </c>
    </row>
    <row r="74" customFormat="false" ht="18" hidden="false" customHeight="true" outlineLevel="0" collapsed="false">
      <c r="A74" s="45" t="s">
        <v>1587</v>
      </c>
      <c r="B74" s="46" t="s">
        <v>129</v>
      </c>
      <c r="C74" s="46" t="s">
        <v>1588</v>
      </c>
      <c r="D74" s="46" t="s">
        <v>1589</v>
      </c>
      <c r="E74" s="46" t="s">
        <v>1590</v>
      </c>
      <c r="F74" s="46" t="s">
        <v>586</v>
      </c>
      <c r="G74" s="46" t="s">
        <v>257</v>
      </c>
      <c r="H74" s="46" t="s">
        <v>81</v>
      </c>
      <c r="I74" s="46" t="s">
        <v>1591</v>
      </c>
      <c r="J74" s="46" t="s">
        <v>1592</v>
      </c>
      <c r="K74" s="46" t="s">
        <v>1165</v>
      </c>
      <c r="L74" s="46" t="s">
        <v>1593</v>
      </c>
      <c r="M74" s="46" t="s">
        <v>1110</v>
      </c>
    </row>
    <row r="75" customFormat="false" ht="18" hidden="false" customHeight="true" outlineLevel="0" collapsed="false">
      <c r="A75" s="45" t="s">
        <v>1014</v>
      </c>
      <c r="B75" s="46" t="s">
        <v>129</v>
      </c>
      <c r="C75" s="46" t="s">
        <v>1594</v>
      </c>
      <c r="D75" s="46" t="s">
        <v>1595</v>
      </c>
      <c r="E75" s="46" t="s">
        <v>1012</v>
      </c>
      <c r="F75" s="46" t="s">
        <v>1596</v>
      </c>
      <c r="G75" s="46" t="s">
        <v>1172</v>
      </c>
      <c r="H75" s="46" t="s">
        <v>79</v>
      </c>
      <c r="I75" s="46" t="s">
        <v>1597</v>
      </c>
      <c r="J75" s="46" t="s">
        <v>1403</v>
      </c>
      <c r="K75" s="46" t="s">
        <v>1130</v>
      </c>
      <c r="L75" s="46" t="s">
        <v>1598</v>
      </c>
      <c r="M75" s="46" t="s">
        <v>1110</v>
      </c>
    </row>
    <row r="76" customFormat="false" ht="18" hidden="false" customHeight="true" outlineLevel="0" collapsed="false">
      <c r="A76" s="45" t="s">
        <v>442</v>
      </c>
      <c r="B76" s="46" t="s">
        <v>129</v>
      </c>
      <c r="C76" s="46" t="s">
        <v>1599</v>
      </c>
      <c r="D76" s="46" t="s">
        <v>1600</v>
      </c>
      <c r="E76" s="46" t="s">
        <v>1601</v>
      </c>
      <c r="F76" s="46" t="s">
        <v>441</v>
      </c>
      <c r="G76" s="46" t="s">
        <v>1544</v>
      </c>
      <c r="H76" s="46" t="s">
        <v>1137</v>
      </c>
      <c r="I76" s="46" t="s">
        <v>1602</v>
      </c>
      <c r="J76" s="46" t="s">
        <v>1603</v>
      </c>
      <c r="K76" s="46" t="s">
        <v>1224</v>
      </c>
      <c r="L76" s="46" t="s">
        <v>1604</v>
      </c>
      <c r="M76" s="46" t="s">
        <v>1110</v>
      </c>
    </row>
    <row r="77" customFormat="false" ht="18" hidden="false" customHeight="true" outlineLevel="0" collapsed="false">
      <c r="A77" s="45" t="s">
        <v>1605</v>
      </c>
      <c r="B77" s="46" t="s">
        <v>129</v>
      </c>
      <c r="C77" s="46" t="s">
        <v>1606</v>
      </c>
      <c r="D77" s="46" t="s">
        <v>1607</v>
      </c>
      <c r="E77" s="46" t="s">
        <v>660</v>
      </c>
      <c r="F77" s="46" t="s">
        <v>661</v>
      </c>
      <c r="G77" s="46" t="s">
        <v>1194</v>
      </c>
      <c r="H77" s="46" t="s">
        <v>1162</v>
      </c>
      <c r="I77" s="46" t="s">
        <v>1608</v>
      </c>
      <c r="J77" s="46" t="s">
        <v>1609</v>
      </c>
      <c r="K77" s="46" t="s">
        <v>1149</v>
      </c>
      <c r="L77" s="46" t="s">
        <v>1610</v>
      </c>
      <c r="M77" s="46" t="s">
        <v>1110</v>
      </c>
    </row>
    <row r="78" customFormat="false" ht="18" hidden="false" customHeight="true" outlineLevel="0" collapsed="false">
      <c r="A78" s="45" t="s">
        <v>631</v>
      </c>
      <c r="B78" s="46" t="s">
        <v>129</v>
      </c>
      <c r="C78" s="46" t="s">
        <v>1611</v>
      </c>
      <c r="D78" s="46" t="s">
        <v>1612</v>
      </c>
      <c r="E78" s="46" t="s">
        <v>629</v>
      </c>
      <c r="F78" s="46" t="s">
        <v>1613</v>
      </c>
      <c r="G78" s="46" t="s">
        <v>81</v>
      </c>
      <c r="H78" s="46" t="s">
        <v>1489</v>
      </c>
      <c r="I78" s="46" t="s">
        <v>1614</v>
      </c>
      <c r="J78" s="46" t="s">
        <v>1615</v>
      </c>
      <c r="K78" s="46" t="s">
        <v>1616</v>
      </c>
      <c r="L78" s="46" t="s">
        <v>1617</v>
      </c>
      <c r="M78" s="46" t="s">
        <v>1132</v>
      </c>
    </row>
    <row r="79" customFormat="false" ht="18" hidden="false" customHeight="true" outlineLevel="0" collapsed="false">
      <c r="A79" s="45" t="s">
        <v>264</v>
      </c>
      <c r="B79" s="46" t="s">
        <v>129</v>
      </c>
      <c r="C79" s="46" t="s">
        <v>1618</v>
      </c>
      <c r="D79" s="46" t="s">
        <v>1619</v>
      </c>
      <c r="E79" s="46" t="s">
        <v>262</v>
      </c>
      <c r="F79" s="46" t="s">
        <v>263</v>
      </c>
      <c r="G79" s="46" t="s">
        <v>1544</v>
      </c>
      <c r="H79" s="46" t="s">
        <v>79</v>
      </c>
      <c r="I79" s="46" t="s">
        <v>1379</v>
      </c>
      <c r="J79" s="46" t="s">
        <v>1429</v>
      </c>
      <c r="K79" s="46" t="s">
        <v>1513</v>
      </c>
      <c r="L79" s="46" t="s">
        <v>1620</v>
      </c>
      <c r="M79" s="46" t="s">
        <v>1110</v>
      </c>
    </row>
    <row r="80" customFormat="false" ht="18" hidden="false" customHeight="true" outlineLevel="0" collapsed="false">
      <c r="A80" s="45" t="s">
        <v>777</v>
      </c>
      <c r="B80" s="46" t="s">
        <v>129</v>
      </c>
      <c r="C80" s="46" t="s">
        <v>1621</v>
      </c>
      <c r="D80" s="46" t="s">
        <v>1622</v>
      </c>
      <c r="E80" s="46" t="s">
        <v>1623</v>
      </c>
      <c r="F80" s="46" t="s">
        <v>1624</v>
      </c>
      <c r="G80" s="46" t="s">
        <v>81</v>
      </c>
      <c r="H80" s="46" t="s">
        <v>1389</v>
      </c>
      <c r="I80" s="46" t="s">
        <v>1625</v>
      </c>
      <c r="J80" s="46" t="s">
        <v>1626</v>
      </c>
      <c r="K80" s="46" t="s">
        <v>1627</v>
      </c>
      <c r="L80" s="46" t="s">
        <v>1628</v>
      </c>
      <c r="M80" s="46" t="s">
        <v>1110</v>
      </c>
    </row>
    <row r="81" customFormat="false" ht="18" hidden="false" customHeight="true" outlineLevel="0" collapsed="false">
      <c r="A81" s="45" t="s">
        <v>573</v>
      </c>
      <c r="B81" s="46" t="s">
        <v>129</v>
      </c>
      <c r="C81" s="46" t="s">
        <v>1629</v>
      </c>
      <c r="D81" s="46" t="s">
        <v>1630</v>
      </c>
      <c r="E81" s="46" t="s">
        <v>1631</v>
      </c>
      <c r="F81" s="46" t="s">
        <v>572</v>
      </c>
      <c r="G81" s="46" t="s">
        <v>1337</v>
      </c>
      <c r="H81" s="46" t="s">
        <v>79</v>
      </c>
      <c r="I81" s="46" t="s">
        <v>1632</v>
      </c>
      <c r="J81" s="46" t="s">
        <v>1633</v>
      </c>
      <c r="K81" s="46" t="s">
        <v>1344</v>
      </c>
      <c r="L81" s="46" t="s">
        <v>1634</v>
      </c>
      <c r="M81" s="46" t="s">
        <v>1132</v>
      </c>
    </row>
    <row r="82" customFormat="false" ht="18" hidden="false" customHeight="true" outlineLevel="0" collapsed="false">
      <c r="A82" s="45" t="s">
        <v>1635</v>
      </c>
      <c r="B82" s="46" t="s">
        <v>129</v>
      </c>
      <c r="C82" s="46" t="s">
        <v>1636</v>
      </c>
      <c r="D82" s="46" t="s">
        <v>1637</v>
      </c>
      <c r="E82" s="46" t="s">
        <v>926</v>
      </c>
      <c r="F82" s="46" t="s">
        <v>1638</v>
      </c>
      <c r="G82" s="46" t="s">
        <v>170</v>
      </c>
      <c r="H82" s="46" t="s">
        <v>82</v>
      </c>
      <c r="I82" s="46" t="s">
        <v>1639</v>
      </c>
      <c r="J82" s="46" t="s">
        <v>1640</v>
      </c>
      <c r="K82" s="46" t="s">
        <v>1130</v>
      </c>
      <c r="L82" s="46" t="s">
        <v>1641</v>
      </c>
      <c r="M82" s="46" t="s">
        <v>1110</v>
      </c>
    </row>
    <row r="83" customFormat="false" ht="18" hidden="false" customHeight="true" outlineLevel="0" collapsed="false">
      <c r="A83" s="45" t="s">
        <v>1642</v>
      </c>
      <c r="B83" s="46" t="s">
        <v>129</v>
      </c>
      <c r="C83" s="46" t="s">
        <v>1643</v>
      </c>
      <c r="D83" s="46" t="s">
        <v>1644</v>
      </c>
      <c r="E83" s="46" t="s">
        <v>497</v>
      </c>
      <c r="F83" s="46" t="s">
        <v>1645</v>
      </c>
      <c r="G83" s="46" t="s">
        <v>1371</v>
      </c>
      <c r="H83" s="46" t="s">
        <v>1236</v>
      </c>
      <c r="I83" s="46" t="s">
        <v>1646</v>
      </c>
      <c r="J83" s="46" t="s">
        <v>1647</v>
      </c>
      <c r="K83" s="46" t="s">
        <v>1224</v>
      </c>
      <c r="L83" s="46" t="s">
        <v>1648</v>
      </c>
      <c r="M83" s="46" t="s">
        <v>1110</v>
      </c>
    </row>
    <row r="84" customFormat="false" ht="18" hidden="false" customHeight="true" outlineLevel="0" collapsed="false">
      <c r="A84" s="45" t="s">
        <v>1649</v>
      </c>
      <c r="B84" s="46" t="s">
        <v>129</v>
      </c>
      <c r="C84" s="46" t="s">
        <v>1650</v>
      </c>
      <c r="D84" s="46" t="s">
        <v>1651</v>
      </c>
      <c r="E84" s="46" t="s">
        <v>809</v>
      </c>
      <c r="F84" s="46" t="s">
        <v>810</v>
      </c>
      <c r="G84" s="46" t="s">
        <v>170</v>
      </c>
      <c r="H84" s="46" t="s">
        <v>82</v>
      </c>
      <c r="I84" s="46" t="s">
        <v>1652</v>
      </c>
      <c r="J84" s="46" t="s">
        <v>1653</v>
      </c>
      <c r="K84" s="46" t="s">
        <v>1108</v>
      </c>
      <c r="L84" s="46" t="s">
        <v>1654</v>
      </c>
      <c r="M84" s="46" t="s">
        <v>1110</v>
      </c>
    </row>
    <row r="85" customFormat="false" ht="18" hidden="false" customHeight="true" outlineLevel="0" collapsed="false">
      <c r="A85" s="45" t="s">
        <v>679</v>
      </c>
      <c r="B85" s="46" t="s">
        <v>129</v>
      </c>
      <c r="C85" s="46" t="s">
        <v>1655</v>
      </c>
      <c r="D85" s="46" t="s">
        <v>1656</v>
      </c>
      <c r="E85" s="46" t="s">
        <v>677</v>
      </c>
      <c r="F85" s="46" t="s">
        <v>1657</v>
      </c>
      <c r="G85" s="46" t="s">
        <v>1371</v>
      </c>
      <c r="H85" s="46" t="s">
        <v>1330</v>
      </c>
      <c r="I85" s="46" t="s">
        <v>1658</v>
      </c>
      <c r="J85" s="46" t="s">
        <v>1659</v>
      </c>
      <c r="K85" s="46" t="s">
        <v>1381</v>
      </c>
      <c r="L85" s="46" t="s">
        <v>1660</v>
      </c>
      <c r="M85" s="46" t="s">
        <v>1110</v>
      </c>
    </row>
    <row r="86" customFormat="false" ht="18" hidden="false" customHeight="true" outlineLevel="0" collapsed="false">
      <c r="A86" s="45" t="s">
        <v>1661</v>
      </c>
      <c r="B86" s="46" t="s">
        <v>129</v>
      </c>
      <c r="C86" s="46" t="s">
        <v>1662</v>
      </c>
      <c r="D86" s="46" t="s">
        <v>1663</v>
      </c>
      <c r="E86" s="46" t="s">
        <v>757</v>
      </c>
      <c r="F86" s="46" t="s">
        <v>1664</v>
      </c>
      <c r="G86" s="46" t="s">
        <v>1337</v>
      </c>
      <c r="H86" s="46" t="s">
        <v>79</v>
      </c>
      <c r="I86" s="46" t="s">
        <v>1665</v>
      </c>
      <c r="J86" s="46" t="s">
        <v>1666</v>
      </c>
      <c r="K86" s="46" t="s">
        <v>1140</v>
      </c>
      <c r="L86" s="46" t="s">
        <v>1667</v>
      </c>
      <c r="M86" s="46" t="s">
        <v>1110</v>
      </c>
    </row>
    <row r="87" customFormat="false" ht="18" hidden="false" customHeight="true" outlineLevel="0" collapsed="false">
      <c r="A87" s="45" t="s">
        <v>1668</v>
      </c>
      <c r="B87" s="46" t="s">
        <v>129</v>
      </c>
      <c r="C87" s="46" t="s">
        <v>1669</v>
      </c>
      <c r="D87" s="46" t="s">
        <v>1670</v>
      </c>
      <c r="E87" s="46" t="s">
        <v>244</v>
      </c>
      <c r="F87" s="46" t="s">
        <v>1671</v>
      </c>
      <c r="G87" s="46" t="s">
        <v>1201</v>
      </c>
      <c r="H87" s="46" t="s">
        <v>1137</v>
      </c>
      <c r="I87" s="46" t="s">
        <v>1672</v>
      </c>
      <c r="J87" s="46" t="s">
        <v>1332</v>
      </c>
      <c r="K87" s="46" t="s">
        <v>1224</v>
      </c>
      <c r="L87" s="46" t="s">
        <v>1673</v>
      </c>
      <c r="M87" s="46" t="s">
        <v>1132</v>
      </c>
    </row>
    <row r="88" customFormat="false" ht="18" hidden="false" customHeight="true" outlineLevel="0" collapsed="false">
      <c r="A88" s="45" t="s">
        <v>863</v>
      </c>
      <c r="B88" s="46" t="s">
        <v>129</v>
      </c>
      <c r="C88" s="46" t="s">
        <v>1674</v>
      </c>
      <c r="D88" s="46" t="s">
        <v>1675</v>
      </c>
      <c r="E88" s="46" t="s">
        <v>861</v>
      </c>
      <c r="F88" s="46" t="s">
        <v>1676</v>
      </c>
      <c r="G88" s="46" t="s">
        <v>1564</v>
      </c>
      <c r="H88" s="46" t="s">
        <v>1330</v>
      </c>
      <c r="I88" s="46" t="s">
        <v>1677</v>
      </c>
      <c r="J88" s="46" t="s">
        <v>1203</v>
      </c>
      <c r="K88" s="46" t="s">
        <v>1678</v>
      </c>
      <c r="L88" s="46" t="s">
        <v>1679</v>
      </c>
      <c r="M88" s="46" t="s">
        <v>1110</v>
      </c>
    </row>
    <row r="89" customFormat="false" ht="18" hidden="false" customHeight="true" outlineLevel="0" collapsed="false">
      <c r="A89" s="45" t="s">
        <v>907</v>
      </c>
      <c r="B89" s="46" t="s">
        <v>129</v>
      </c>
      <c r="C89" s="46" t="s">
        <v>1680</v>
      </c>
      <c r="D89" s="46" t="s">
        <v>1681</v>
      </c>
      <c r="E89" s="46" t="s">
        <v>1682</v>
      </c>
      <c r="F89" s="46" t="s">
        <v>1683</v>
      </c>
      <c r="G89" s="46" t="s">
        <v>217</v>
      </c>
      <c r="H89" s="46" t="s">
        <v>79</v>
      </c>
      <c r="I89" s="46" t="s">
        <v>1684</v>
      </c>
      <c r="J89" s="46" t="s">
        <v>1685</v>
      </c>
      <c r="K89" s="46" t="s">
        <v>1272</v>
      </c>
      <c r="L89" s="46" t="s">
        <v>1686</v>
      </c>
      <c r="M89" s="46" t="s">
        <v>1110</v>
      </c>
    </row>
    <row r="90" customFormat="false" ht="18" hidden="false" customHeight="true" outlineLevel="0" collapsed="false">
      <c r="A90" s="45" t="s">
        <v>1687</v>
      </c>
      <c r="B90" s="46" t="s">
        <v>129</v>
      </c>
      <c r="C90" s="46" t="s">
        <v>1688</v>
      </c>
      <c r="D90" s="46" t="s">
        <v>1689</v>
      </c>
      <c r="E90" s="46" t="s">
        <v>648</v>
      </c>
      <c r="F90" s="46" t="s">
        <v>649</v>
      </c>
      <c r="G90" s="46" t="s">
        <v>1482</v>
      </c>
      <c r="H90" s="46" t="s">
        <v>1243</v>
      </c>
      <c r="I90" s="46" t="s">
        <v>1690</v>
      </c>
      <c r="J90" s="46" t="s">
        <v>1677</v>
      </c>
      <c r="K90" s="46" t="s">
        <v>1140</v>
      </c>
      <c r="L90" s="46" t="s">
        <v>1260</v>
      </c>
      <c r="M90" s="46" t="s">
        <v>1110</v>
      </c>
    </row>
    <row r="91" customFormat="false" ht="18" hidden="false" customHeight="true" outlineLevel="0" collapsed="false">
      <c r="A91" s="45" t="s">
        <v>671</v>
      </c>
      <c r="B91" s="46" t="s">
        <v>129</v>
      </c>
      <c r="C91" s="46" t="s">
        <v>1691</v>
      </c>
      <c r="D91" s="46" t="s">
        <v>1692</v>
      </c>
      <c r="E91" s="46" t="s">
        <v>1693</v>
      </c>
      <c r="F91" s="46" t="s">
        <v>1694</v>
      </c>
      <c r="G91" s="46" t="s">
        <v>1695</v>
      </c>
      <c r="H91" s="46" t="s">
        <v>1585</v>
      </c>
      <c r="I91" s="46" t="s">
        <v>1696</v>
      </c>
      <c r="J91" s="46" t="s">
        <v>1696</v>
      </c>
      <c r="K91" s="46" t="s">
        <v>1140</v>
      </c>
      <c r="L91" s="46" t="s">
        <v>1697</v>
      </c>
      <c r="M91" s="46" t="s">
        <v>1132</v>
      </c>
    </row>
    <row r="92" customFormat="false" ht="18" hidden="false" customHeight="true" outlineLevel="0" collapsed="false">
      <c r="A92" s="45" t="s">
        <v>1698</v>
      </c>
      <c r="B92" s="46" t="s">
        <v>129</v>
      </c>
      <c r="C92" s="46" t="s">
        <v>1699</v>
      </c>
      <c r="D92" s="46" t="s">
        <v>1700</v>
      </c>
      <c r="E92" s="46" t="s">
        <v>221</v>
      </c>
      <c r="F92" s="46" t="s">
        <v>1701</v>
      </c>
      <c r="G92" s="46" t="s">
        <v>1172</v>
      </c>
      <c r="H92" s="46" t="s">
        <v>79</v>
      </c>
      <c r="I92" s="46" t="s">
        <v>1435</v>
      </c>
      <c r="J92" s="46" t="s">
        <v>1436</v>
      </c>
      <c r="K92" s="46" t="s">
        <v>1130</v>
      </c>
      <c r="L92" s="46" t="s">
        <v>1437</v>
      </c>
      <c r="M92" s="46" t="s">
        <v>1110</v>
      </c>
    </row>
    <row r="93" customFormat="false" ht="18" hidden="false" customHeight="true" outlineLevel="0" collapsed="false">
      <c r="A93" s="45" t="s">
        <v>1702</v>
      </c>
      <c r="B93" s="46" t="s">
        <v>129</v>
      </c>
      <c r="C93" s="46" t="s">
        <v>1703</v>
      </c>
      <c r="D93" s="46" t="s">
        <v>1704</v>
      </c>
      <c r="E93" s="46" t="s">
        <v>652</v>
      </c>
      <c r="F93" s="46" t="s">
        <v>1705</v>
      </c>
      <c r="G93" s="46" t="s">
        <v>1577</v>
      </c>
      <c r="H93" s="46" t="s">
        <v>1243</v>
      </c>
      <c r="I93" s="46" t="s">
        <v>1706</v>
      </c>
      <c r="J93" s="46" t="s">
        <v>1707</v>
      </c>
      <c r="K93" s="46" t="s">
        <v>1224</v>
      </c>
      <c r="L93" s="46" t="s">
        <v>1708</v>
      </c>
      <c r="M93" s="46" t="s">
        <v>1110</v>
      </c>
    </row>
    <row r="94" customFormat="false" ht="18" hidden="false" customHeight="true" outlineLevel="0" collapsed="false">
      <c r="A94" s="45" t="s">
        <v>1709</v>
      </c>
      <c r="B94" s="46" t="s">
        <v>129</v>
      </c>
      <c r="C94" s="46" t="s">
        <v>1710</v>
      </c>
      <c r="D94" s="46" t="s">
        <v>1711</v>
      </c>
      <c r="E94" s="46" t="s">
        <v>1074</v>
      </c>
      <c r="F94" s="46" t="s">
        <v>1075</v>
      </c>
      <c r="G94" s="46" t="s">
        <v>128</v>
      </c>
      <c r="H94" s="46" t="s">
        <v>1243</v>
      </c>
      <c r="I94" s="46" t="s">
        <v>1712</v>
      </c>
      <c r="J94" s="46" t="s">
        <v>1713</v>
      </c>
      <c r="K94" s="46" t="s">
        <v>1140</v>
      </c>
      <c r="L94" s="46" t="s">
        <v>1714</v>
      </c>
      <c r="M94" s="46" t="s">
        <v>1110</v>
      </c>
    </row>
    <row r="95" customFormat="false" ht="18" hidden="false" customHeight="true" outlineLevel="0" collapsed="false">
      <c r="A95" s="45" t="s">
        <v>341</v>
      </c>
      <c r="B95" s="46" t="s">
        <v>129</v>
      </c>
      <c r="C95" s="46" t="s">
        <v>1715</v>
      </c>
      <c r="D95" s="46" t="s">
        <v>1716</v>
      </c>
      <c r="E95" s="46" t="s">
        <v>1717</v>
      </c>
      <c r="F95" s="46" t="s">
        <v>1718</v>
      </c>
      <c r="G95" s="46" t="s">
        <v>1365</v>
      </c>
      <c r="H95" s="46" t="s">
        <v>82</v>
      </c>
      <c r="I95" s="46" t="s">
        <v>1719</v>
      </c>
      <c r="J95" s="46" t="s">
        <v>1720</v>
      </c>
      <c r="K95" s="46" t="s">
        <v>1224</v>
      </c>
      <c r="L95" s="46" t="s">
        <v>1721</v>
      </c>
      <c r="M95" s="46" t="s">
        <v>1110</v>
      </c>
    </row>
    <row r="96" customFormat="false" ht="18" hidden="false" customHeight="true" outlineLevel="0" collapsed="false">
      <c r="A96" s="45" t="s">
        <v>818</v>
      </c>
      <c r="B96" s="46" t="s">
        <v>129</v>
      </c>
      <c r="C96" s="46" t="s">
        <v>1722</v>
      </c>
      <c r="D96" s="46" t="s">
        <v>1723</v>
      </c>
      <c r="E96" s="46" t="s">
        <v>1724</v>
      </c>
      <c r="F96" s="46" t="s">
        <v>1725</v>
      </c>
      <c r="G96" s="46" t="s">
        <v>1337</v>
      </c>
      <c r="H96" s="46" t="s">
        <v>1243</v>
      </c>
      <c r="I96" s="46" t="s">
        <v>1726</v>
      </c>
      <c r="J96" s="46" t="s">
        <v>1727</v>
      </c>
      <c r="K96" s="46" t="s">
        <v>1224</v>
      </c>
      <c r="L96" s="46" t="s">
        <v>1728</v>
      </c>
      <c r="M96" s="46" t="s">
        <v>1110</v>
      </c>
    </row>
    <row r="97" customFormat="false" ht="18" hidden="false" customHeight="true" outlineLevel="0" collapsed="false">
      <c r="A97" s="45" t="s">
        <v>1729</v>
      </c>
      <c r="B97" s="46" t="s">
        <v>129</v>
      </c>
      <c r="C97" s="46" t="s">
        <v>1730</v>
      </c>
      <c r="D97" s="46" t="s">
        <v>1731</v>
      </c>
      <c r="E97" s="46" t="s">
        <v>682</v>
      </c>
      <c r="F97" s="46" t="s">
        <v>1732</v>
      </c>
      <c r="G97" s="46" t="s">
        <v>1235</v>
      </c>
      <c r="H97" s="46" t="s">
        <v>80</v>
      </c>
      <c r="I97" s="46" t="s">
        <v>1658</v>
      </c>
      <c r="J97" s="46" t="s">
        <v>1733</v>
      </c>
      <c r="K97" s="46" t="s">
        <v>1140</v>
      </c>
      <c r="L97" s="46" t="s">
        <v>1734</v>
      </c>
      <c r="M97" s="46" t="s">
        <v>1110</v>
      </c>
    </row>
    <row r="98" customFormat="false" ht="18" hidden="false" customHeight="true" outlineLevel="0" collapsed="false">
      <c r="A98" s="45" t="s">
        <v>1735</v>
      </c>
      <c r="B98" s="46" t="s">
        <v>129</v>
      </c>
      <c r="C98" s="46" t="s">
        <v>1736</v>
      </c>
      <c r="D98" s="46" t="s">
        <v>1737</v>
      </c>
      <c r="E98" s="46" t="s">
        <v>1738</v>
      </c>
      <c r="F98" s="46" t="s">
        <v>284</v>
      </c>
      <c r="G98" s="46" t="s">
        <v>1537</v>
      </c>
      <c r="H98" s="46" t="s">
        <v>80</v>
      </c>
      <c r="I98" s="46" t="s">
        <v>1739</v>
      </c>
      <c r="J98" s="46" t="s">
        <v>1740</v>
      </c>
      <c r="K98" s="46" t="s">
        <v>1108</v>
      </c>
      <c r="L98" s="46" t="s">
        <v>1741</v>
      </c>
      <c r="M98" s="46" t="s">
        <v>1132</v>
      </c>
    </row>
    <row r="99" customFormat="false" ht="18" hidden="false" customHeight="true" outlineLevel="0" collapsed="false">
      <c r="A99" s="45" t="s">
        <v>885</v>
      </c>
      <c r="B99" s="46" t="s">
        <v>129</v>
      </c>
      <c r="C99" s="46" t="s">
        <v>1742</v>
      </c>
      <c r="D99" s="46" t="s">
        <v>1743</v>
      </c>
      <c r="E99" s="46" t="s">
        <v>883</v>
      </c>
      <c r="F99" s="46" t="s">
        <v>1744</v>
      </c>
      <c r="G99" s="46" t="s">
        <v>150</v>
      </c>
      <c r="H99" s="46" t="s">
        <v>80</v>
      </c>
      <c r="I99" s="46" t="s">
        <v>1259</v>
      </c>
      <c r="J99" s="46" t="s">
        <v>1745</v>
      </c>
      <c r="K99" s="46" t="s">
        <v>1513</v>
      </c>
      <c r="L99" s="46" t="s">
        <v>1746</v>
      </c>
      <c r="M99" s="46" t="s">
        <v>1110</v>
      </c>
    </row>
    <row r="100" customFormat="false" ht="18" hidden="false" customHeight="true" outlineLevel="0" collapsed="false">
      <c r="A100" s="45" t="s">
        <v>790</v>
      </c>
      <c r="B100" s="46" t="s">
        <v>129</v>
      </c>
      <c r="C100" s="46" t="s">
        <v>1747</v>
      </c>
      <c r="D100" s="46" t="s">
        <v>1748</v>
      </c>
      <c r="E100" s="46" t="s">
        <v>788</v>
      </c>
      <c r="F100" s="46" t="s">
        <v>1749</v>
      </c>
      <c r="G100" s="46" t="s">
        <v>1371</v>
      </c>
      <c r="H100" s="46" t="s">
        <v>1236</v>
      </c>
      <c r="I100" s="46" t="s">
        <v>1750</v>
      </c>
      <c r="J100" s="46" t="s">
        <v>1751</v>
      </c>
      <c r="K100" s="46" t="s">
        <v>1108</v>
      </c>
      <c r="L100" s="46" t="s">
        <v>1752</v>
      </c>
      <c r="M100" s="46" t="s">
        <v>1132</v>
      </c>
    </row>
    <row r="101" customFormat="false" ht="18" hidden="false" customHeight="true" outlineLevel="0" collapsed="false">
      <c r="A101" s="45" t="s">
        <v>773</v>
      </c>
      <c r="B101" s="46" t="s">
        <v>129</v>
      </c>
      <c r="C101" s="46" t="s">
        <v>1753</v>
      </c>
      <c r="D101" s="46" t="s">
        <v>1754</v>
      </c>
      <c r="E101" s="46" t="s">
        <v>771</v>
      </c>
      <c r="F101" s="46" t="s">
        <v>772</v>
      </c>
      <c r="G101" s="46" t="s">
        <v>150</v>
      </c>
      <c r="H101" s="46" t="s">
        <v>80</v>
      </c>
      <c r="I101" s="46" t="s">
        <v>1755</v>
      </c>
      <c r="J101" s="46" t="s">
        <v>1756</v>
      </c>
      <c r="K101" s="46" t="s">
        <v>1182</v>
      </c>
      <c r="L101" s="46" t="s">
        <v>1757</v>
      </c>
      <c r="M101" s="46" t="s">
        <v>1132</v>
      </c>
    </row>
    <row r="102" customFormat="false" ht="18" hidden="false" customHeight="true" outlineLevel="0" collapsed="false">
      <c r="A102" s="45" t="s">
        <v>1758</v>
      </c>
      <c r="B102" s="46" t="s">
        <v>129</v>
      </c>
      <c r="C102" s="46" t="s">
        <v>1759</v>
      </c>
      <c r="D102" s="46" t="s">
        <v>1760</v>
      </c>
      <c r="E102" s="46" t="s">
        <v>1761</v>
      </c>
      <c r="F102" s="46" t="s">
        <v>1762</v>
      </c>
      <c r="G102" s="46" t="s">
        <v>1564</v>
      </c>
      <c r="H102" s="46" t="s">
        <v>80</v>
      </c>
      <c r="I102" s="46" t="s">
        <v>1763</v>
      </c>
      <c r="J102" s="46" t="s">
        <v>1764</v>
      </c>
      <c r="K102" s="46" t="s">
        <v>1140</v>
      </c>
      <c r="L102" s="46" t="s">
        <v>1765</v>
      </c>
      <c r="M102" s="46" t="s">
        <v>1110</v>
      </c>
    </row>
    <row r="103" customFormat="false" ht="18" hidden="false" customHeight="true" outlineLevel="0" collapsed="false">
      <c r="A103" s="45" t="s">
        <v>550</v>
      </c>
      <c r="B103" s="46" t="s">
        <v>129</v>
      </c>
      <c r="C103" s="46" t="s">
        <v>1766</v>
      </c>
      <c r="D103" s="46" t="s">
        <v>1767</v>
      </c>
      <c r="E103" s="46" t="s">
        <v>548</v>
      </c>
      <c r="F103" s="46" t="s">
        <v>1768</v>
      </c>
      <c r="G103" s="46" t="s">
        <v>239</v>
      </c>
      <c r="H103" s="46" t="s">
        <v>79</v>
      </c>
      <c r="I103" s="46" t="s">
        <v>1769</v>
      </c>
      <c r="J103" s="46" t="s">
        <v>1770</v>
      </c>
      <c r="K103" s="46" t="s">
        <v>1149</v>
      </c>
      <c r="L103" s="46" t="s">
        <v>1771</v>
      </c>
      <c r="M103" s="46" t="s">
        <v>1110</v>
      </c>
    </row>
    <row r="104" customFormat="false" ht="18" hidden="false" customHeight="true" outlineLevel="0" collapsed="false">
      <c r="A104" s="45" t="s">
        <v>973</v>
      </c>
      <c r="B104" s="46" t="s">
        <v>129</v>
      </c>
      <c r="C104" s="46" t="s">
        <v>1772</v>
      </c>
      <c r="D104" s="46" t="s">
        <v>1773</v>
      </c>
      <c r="E104" s="46" t="s">
        <v>1774</v>
      </c>
      <c r="F104" s="46" t="s">
        <v>1775</v>
      </c>
      <c r="G104" s="46" t="s">
        <v>1544</v>
      </c>
      <c r="H104" s="46" t="s">
        <v>1173</v>
      </c>
      <c r="I104" s="46" t="s">
        <v>1776</v>
      </c>
      <c r="J104" s="46" t="s">
        <v>1512</v>
      </c>
      <c r="K104" s="46" t="s">
        <v>1381</v>
      </c>
      <c r="L104" s="46" t="s">
        <v>1777</v>
      </c>
      <c r="M104" s="46" t="s">
        <v>1110</v>
      </c>
    </row>
    <row r="105" customFormat="false" ht="18" hidden="false" customHeight="true" outlineLevel="0" collapsed="false">
      <c r="A105" s="45" t="s">
        <v>1778</v>
      </c>
      <c r="B105" s="46" t="s">
        <v>129</v>
      </c>
      <c r="C105" s="46" t="s">
        <v>1779</v>
      </c>
      <c r="D105" s="46" t="s">
        <v>1780</v>
      </c>
      <c r="E105" s="46" t="s">
        <v>1781</v>
      </c>
      <c r="F105" s="46" t="s">
        <v>1782</v>
      </c>
      <c r="G105" s="46" t="s">
        <v>163</v>
      </c>
      <c r="H105" s="46" t="s">
        <v>79</v>
      </c>
      <c r="I105" s="46" t="s">
        <v>1783</v>
      </c>
      <c r="J105" s="46" t="s">
        <v>1784</v>
      </c>
      <c r="K105" s="46" t="s">
        <v>1272</v>
      </c>
      <c r="L105" s="46" t="s">
        <v>1785</v>
      </c>
      <c r="M105" s="46" t="s">
        <v>1110</v>
      </c>
    </row>
    <row r="106" customFormat="false" ht="18" hidden="false" customHeight="true" outlineLevel="0" collapsed="false">
      <c r="A106" s="45" t="s">
        <v>1786</v>
      </c>
      <c r="B106" s="46" t="s">
        <v>129</v>
      </c>
      <c r="C106" s="46" t="s">
        <v>1787</v>
      </c>
      <c r="D106" s="46" t="s">
        <v>1788</v>
      </c>
      <c r="E106" s="46" t="s">
        <v>710</v>
      </c>
      <c r="F106" s="46" t="s">
        <v>1789</v>
      </c>
      <c r="G106" s="46" t="s">
        <v>1194</v>
      </c>
      <c r="H106" s="46" t="s">
        <v>79</v>
      </c>
      <c r="I106" s="46" t="s">
        <v>1790</v>
      </c>
      <c r="J106" s="46" t="s">
        <v>1791</v>
      </c>
      <c r="K106" s="46" t="s">
        <v>1130</v>
      </c>
      <c r="L106" s="46" t="s">
        <v>1765</v>
      </c>
      <c r="M106" s="46" t="s">
        <v>1132</v>
      </c>
    </row>
    <row r="107" customFormat="false" ht="18" hidden="false" customHeight="true" outlineLevel="0" collapsed="false">
      <c r="A107" s="45" t="s">
        <v>802</v>
      </c>
      <c r="B107" s="46" t="s">
        <v>129</v>
      </c>
      <c r="C107" s="46" t="s">
        <v>1792</v>
      </c>
      <c r="D107" s="46" t="s">
        <v>1793</v>
      </c>
      <c r="E107" s="46" t="s">
        <v>800</v>
      </c>
      <c r="F107" s="46" t="s">
        <v>1794</v>
      </c>
      <c r="G107" s="46" t="s">
        <v>120</v>
      </c>
      <c r="H107" s="46" t="s">
        <v>1236</v>
      </c>
      <c r="I107" s="46" t="s">
        <v>1795</v>
      </c>
      <c r="J107" s="46" t="s">
        <v>1796</v>
      </c>
      <c r="K107" s="46" t="s">
        <v>1513</v>
      </c>
      <c r="L107" s="46" t="s">
        <v>1797</v>
      </c>
      <c r="M107" s="46" t="s">
        <v>1110</v>
      </c>
    </row>
    <row r="108" customFormat="false" ht="18" hidden="false" customHeight="true" outlineLevel="0" collapsed="false">
      <c r="A108" s="45" t="s">
        <v>545</v>
      </c>
      <c r="B108" s="46" t="s">
        <v>129</v>
      </c>
      <c r="C108" s="46" t="s">
        <v>1798</v>
      </c>
      <c r="D108" s="46" t="s">
        <v>1799</v>
      </c>
      <c r="E108" s="46" t="s">
        <v>1800</v>
      </c>
      <c r="F108" s="46" t="s">
        <v>1801</v>
      </c>
      <c r="G108" s="46" t="s">
        <v>1194</v>
      </c>
      <c r="H108" s="46" t="s">
        <v>1243</v>
      </c>
      <c r="I108" s="46" t="s">
        <v>1802</v>
      </c>
      <c r="J108" s="46" t="s">
        <v>1803</v>
      </c>
      <c r="K108" s="46" t="s">
        <v>1224</v>
      </c>
      <c r="L108" s="46" t="s">
        <v>1804</v>
      </c>
      <c r="M108" s="46" t="s">
        <v>1110</v>
      </c>
    </row>
    <row r="109" customFormat="false" ht="18" hidden="false" customHeight="true" outlineLevel="0" collapsed="false">
      <c r="A109" s="45" t="s">
        <v>1805</v>
      </c>
      <c r="B109" s="46" t="s">
        <v>129</v>
      </c>
      <c r="C109" s="46" t="s">
        <v>1806</v>
      </c>
      <c r="D109" s="46" t="s">
        <v>1249</v>
      </c>
      <c r="E109" s="46" t="s">
        <v>874</v>
      </c>
      <c r="F109" s="46" t="s">
        <v>1807</v>
      </c>
      <c r="G109" s="46" t="s">
        <v>128</v>
      </c>
      <c r="H109" s="46" t="s">
        <v>79</v>
      </c>
      <c r="I109" s="46" t="s">
        <v>1251</v>
      </c>
      <c r="J109" s="46" t="s">
        <v>1252</v>
      </c>
      <c r="K109" s="46" t="s">
        <v>1224</v>
      </c>
      <c r="L109" s="46" t="s">
        <v>1253</v>
      </c>
      <c r="M109" s="46" t="s">
        <v>1110</v>
      </c>
    </row>
    <row r="110" customFormat="false" ht="18" hidden="false" customHeight="true" outlineLevel="0" collapsed="false">
      <c r="A110" s="45" t="s">
        <v>392</v>
      </c>
      <c r="B110" s="46" t="s">
        <v>129</v>
      </c>
      <c r="C110" s="46" t="s">
        <v>1808</v>
      </c>
      <c r="D110" s="46" t="s">
        <v>1809</v>
      </c>
      <c r="E110" s="46" t="s">
        <v>390</v>
      </c>
      <c r="F110" s="46" t="s">
        <v>1810</v>
      </c>
      <c r="G110" s="46" t="s">
        <v>1172</v>
      </c>
      <c r="H110" s="46" t="s">
        <v>79</v>
      </c>
      <c r="I110" s="46" t="s">
        <v>1511</v>
      </c>
      <c r="J110" s="46" t="s">
        <v>1511</v>
      </c>
      <c r="K110" s="46" t="s">
        <v>1140</v>
      </c>
      <c r="L110" s="46" t="s">
        <v>1811</v>
      </c>
      <c r="M110" s="46" t="s">
        <v>1110</v>
      </c>
    </row>
    <row r="111" customFormat="false" ht="18" hidden="false" customHeight="true" outlineLevel="0" collapsed="false">
      <c r="A111" s="45" t="s">
        <v>280</v>
      </c>
      <c r="B111" s="46" t="s">
        <v>121</v>
      </c>
      <c r="C111" s="46" t="s">
        <v>1812</v>
      </c>
      <c r="D111" s="46" t="s">
        <v>1813</v>
      </c>
      <c r="E111" s="46" t="s">
        <v>278</v>
      </c>
      <c r="F111" s="46" t="s">
        <v>1814</v>
      </c>
      <c r="G111" s="46" t="s">
        <v>1235</v>
      </c>
      <c r="H111" s="46"/>
      <c r="I111" s="46" t="s">
        <v>1815</v>
      </c>
      <c r="J111" s="46" t="s">
        <v>1816</v>
      </c>
      <c r="K111" s="46" t="s">
        <v>1817</v>
      </c>
      <c r="L111" s="46" t="s">
        <v>1818</v>
      </c>
      <c r="M111" s="46" t="s">
        <v>1819</v>
      </c>
    </row>
    <row r="112" customFormat="false" ht="18" hidden="false" customHeight="true" outlineLevel="0" collapsed="false">
      <c r="A112" s="45" t="s">
        <v>1820</v>
      </c>
      <c r="B112" s="46" t="s">
        <v>121</v>
      </c>
      <c r="C112" s="46" t="s">
        <v>1821</v>
      </c>
      <c r="D112" s="46" t="s">
        <v>1822</v>
      </c>
      <c r="E112" s="46" t="s">
        <v>1039</v>
      </c>
      <c r="F112" s="46" t="s">
        <v>1823</v>
      </c>
      <c r="G112" s="46" t="s">
        <v>1824</v>
      </c>
      <c r="H112" s="46" t="s">
        <v>79</v>
      </c>
      <c r="I112" s="46" t="s">
        <v>1825</v>
      </c>
      <c r="J112" s="46" t="s">
        <v>1826</v>
      </c>
      <c r="K112" s="46" t="s">
        <v>1140</v>
      </c>
      <c r="L112" s="46" t="s">
        <v>1827</v>
      </c>
      <c r="M112" s="46" t="s">
        <v>130</v>
      </c>
    </row>
    <row r="113" customFormat="false" ht="18" hidden="false" customHeight="true" outlineLevel="0" collapsed="false">
      <c r="A113" s="45" t="s">
        <v>1828</v>
      </c>
      <c r="B113" s="46" t="s">
        <v>121</v>
      </c>
      <c r="C113" s="46" t="s">
        <v>1829</v>
      </c>
      <c r="D113" s="46" t="s">
        <v>1830</v>
      </c>
      <c r="E113" s="46" t="s">
        <v>554</v>
      </c>
      <c r="F113" s="46" t="s">
        <v>1831</v>
      </c>
      <c r="G113" s="46" t="s">
        <v>128</v>
      </c>
      <c r="H113" s="46" t="s">
        <v>1137</v>
      </c>
      <c r="I113" s="46" t="s">
        <v>1832</v>
      </c>
      <c r="J113" s="46" t="s">
        <v>1833</v>
      </c>
      <c r="K113" s="46" t="s">
        <v>1834</v>
      </c>
      <c r="L113" s="46" t="s">
        <v>1835</v>
      </c>
      <c r="M113" s="46" t="s">
        <v>1836</v>
      </c>
    </row>
    <row r="114" customFormat="false" ht="18" hidden="false" customHeight="true" outlineLevel="0" collapsed="false">
      <c r="A114" s="45" t="s">
        <v>1006</v>
      </c>
      <c r="B114" s="46" t="s">
        <v>121</v>
      </c>
      <c r="C114" s="46" t="s">
        <v>1837</v>
      </c>
      <c r="D114" s="46" t="s">
        <v>1838</v>
      </c>
      <c r="E114" s="46" t="s">
        <v>1839</v>
      </c>
      <c r="F114" s="46" t="s">
        <v>1840</v>
      </c>
      <c r="G114" s="46" t="s">
        <v>1194</v>
      </c>
      <c r="H114" s="46"/>
      <c r="I114" s="46" t="s">
        <v>1841</v>
      </c>
      <c r="J114" s="46" t="s">
        <v>1842</v>
      </c>
      <c r="K114" s="46" t="s">
        <v>1140</v>
      </c>
      <c r="L114" s="46" t="s">
        <v>1843</v>
      </c>
      <c r="M114" s="46" t="s">
        <v>1836</v>
      </c>
    </row>
    <row r="115" customFormat="false" ht="18" hidden="false" customHeight="true" outlineLevel="0" collapsed="false">
      <c r="A115" s="45" t="s">
        <v>346</v>
      </c>
      <c r="B115" s="46" t="s">
        <v>121</v>
      </c>
      <c r="C115" s="46" t="s">
        <v>1844</v>
      </c>
      <c r="D115" s="46" t="s">
        <v>1845</v>
      </c>
      <c r="E115" s="46" t="s">
        <v>344</v>
      </c>
      <c r="F115" s="46" t="s">
        <v>1846</v>
      </c>
      <c r="G115" s="46" t="s">
        <v>1179</v>
      </c>
      <c r="H115" s="46" t="s">
        <v>80</v>
      </c>
      <c r="I115" s="46" t="s">
        <v>1847</v>
      </c>
      <c r="J115" s="46" t="s">
        <v>1848</v>
      </c>
      <c r="K115" s="46" t="s">
        <v>1849</v>
      </c>
      <c r="L115" s="46" t="s">
        <v>1850</v>
      </c>
      <c r="M115" s="46" t="s">
        <v>1851</v>
      </c>
    </row>
    <row r="116" customFormat="false" ht="18" hidden="false" customHeight="true" outlineLevel="0" collapsed="false">
      <c r="A116" s="45" t="s">
        <v>1852</v>
      </c>
      <c r="B116" s="46" t="s">
        <v>121</v>
      </c>
      <c r="C116" s="46" t="s">
        <v>1853</v>
      </c>
      <c r="D116" s="46" t="s">
        <v>1854</v>
      </c>
      <c r="E116" s="46"/>
      <c r="F116" s="46" t="s">
        <v>1855</v>
      </c>
      <c r="G116" s="46" t="s">
        <v>128</v>
      </c>
      <c r="H116" s="46" t="s">
        <v>79</v>
      </c>
      <c r="I116" s="46" t="s">
        <v>1856</v>
      </c>
      <c r="J116" s="46" t="s">
        <v>1857</v>
      </c>
      <c r="K116" s="46" t="s">
        <v>1140</v>
      </c>
      <c r="L116" s="46" t="s">
        <v>1858</v>
      </c>
      <c r="M116" s="46" t="s">
        <v>1819</v>
      </c>
    </row>
    <row r="117" customFormat="false" ht="18" hidden="false" customHeight="true" outlineLevel="0" collapsed="false">
      <c r="A117" s="45" t="s">
        <v>1859</v>
      </c>
      <c r="B117" s="46" t="s">
        <v>121</v>
      </c>
      <c r="C117" s="46" t="s">
        <v>1860</v>
      </c>
      <c r="D117" s="46" t="s">
        <v>1861</v>
      </c>
      <c r="E117" s="46" t="s">
        <v>585</v>
      </c>
      <c r="F117" s="46" t="s">
        <v>1862</v>
      </c>
      <c r="G117" s="46" t="s">
        <v>1863</v>
      </c>
      <c r="H117" s="46" t="s">
        <v>81</v>
      </c>
      <c r="I117" s="46" t="s">
        <v>1864</v>
      </c>
      <c r="J117" s="46" t="s">
        <v>1865</v>
      </c>
      <c r="K117" s="46" t="s">
        <v>1849</v>
      </c>
      <c r="L117" s="46" t="s">
        <v>1866</v>
      </c>
      <c r="M117" s="46" t="s">
        <v>1836</v>
      </c>
    </row>
    <row r="118" customFormat="false" ht="18" hidden="false" customHeight="true" outlineLevel="0" collapsed="false">
      <c r="A118" s="45" t="s">
        <v>754</v>
      </c>
      <c r="B118" s="46" t="s">
        <v>121</v>
      </c>
      <c r="C118" s="46" t="s">
        <v>1867</v>
      </c>
      <c r="D118" s="46" t="s">
        <v>1868</v>
      </c>
      <c r="E118" s="46" t="s">
        <v>752</v>
      </c>
      <c r="F118" s="46" t="s">
        <v>1869</v>
      </c>
      <c r="G118" s="46" t="s">
        <v>1564</v>
      </c>
      <c r="H118" s="46" t="s">
        <v>1236</v>
      </c>
      <c r="I118" s="46" t="s">
        <v>1870</v>
      </c>
      <c r="J118" s="46" t="s">
        <v>1871</v>
      </c>
      <c r="K118" s="46" t="s">
        <v>1513</v>
      </c>
      <c r="L118" s="46" t="s">
        <v>1872</v>
      </c>
      <c r="M118" s="46"/>
    </row>
    <row r="119" customFormat="false" ht="18" hidden="false" customHeight="true" outlineLevel="0" collapsed="false">
      <c r="A119" s="45" t="s">
        <v>258</v>
      </c>
      <c r="B119" s="46" t="s">
        <v>121</v>
      </c>
      <c r="C119" s="46" t="s">
        <v>1873</v>
      </c>
      <c r="D119" s="46" t="s">
        <v>1874</v>
      </c>
      <c r="E119" s="46" t="s">
        <v>1875</v>
      </c>
      <c r="F119" s="46" t="s">
        <v>1876</v>
      </c>
      <c r="G119" s="46" t="s">
        <v>257</v>
      </c>
      <c r="H119" s="46" t="s">
        <v>81</v>
      </c>
      <c r="I119" s="46" t="s">
        <v>1877</v>
      </c>
      <c r="J119" s="46" t="s">
        <v>1878</v>
      </c>
      <c r="K119" s="46" t="s">
        <v>1879</v>
      </c>
      <c r="L119" s="46" t="s">
        <v>1880</v>
      </c>
      <c r="M119" s="46"/>
    </row>
    <row r="120" customFormat="false" ht="18" hidden="false" customHeight="true" outlineLevel="0" collapsed="false">
      <c r="A120" s="45" t="s">
        <v>749</v>
      </c>
      <c r="B120" s="46" t="s">
        <v>121</v>
      </c>
      <c r="C120" s="46" t="s">
        <v>1881</v>
      </c>
      <c r="D120" s="46" t="s">
        <v>1882</v>
      </c>
      <c r="E120" s="46" t="s">
        <v>747</v>
      </c>
      <c r="F120" s="46" t="s">
        <v>1883</v>
      </c>
      <c r="G120" s="46" t="s">
        <v>1146</v>
      </c>
      <c r="H120" s="46" t="s">
        <v>1884</v>
      </c>
      <c r="I120" s="46" t="s">
        <v>1885</v>
      </c>
      <c r="J120" s="46" t="s">
        <v>1886</v>
      </c>
      <c r="K120" s="46" t="s">
        <v>1887</v>
      </c>
      <c r="L120" s="46" t="s">
        <v>1888</v>
      </c>
      <c r="M120" s="46" t="s">
        <v>1819</v>
      </c>
    </row>
    <row r="121" customFormat="false" ht="18" hidden="false" customHeight="true" outlineLevel="0" collapsed="false">
      <c r="A121" s="45" t="s">
        <v>568</v>
      </c>
      <c r="B121" s="46" t="s">
        <v>121</v>
      </c>
      <c r="C121" s="46" t="s">
        <v>1889</v>
      </c>
      <c r="D121" s="46" t="s">
        <v>1890</v>
      </c>
      <c r="E121" s="46" t="s">
        <v>566</v>
      </c>
      <c r="F121" s="46" t="s">
        <v>1891</v>
      </c>
      <c r="G121" s="46" t="s">
        <v>1201</v>
      </c>
      <c r="H121" s="46" t="s">
        <v>79</v>
      </c>
      <c r="I121" s="46" t="s">
        <v>1892</v>
      </c>
      <c r="J121" s="46" t="s">
        <v>1893</v>
      </c>
      <c r="K121" s="46" t="s">
        <v>1224</v>
      </c>
      <c r="L121" s="46" t="s">
        <v>1894</v>
      </c>
      <c r="M121" s="46" t="s">
        <v>1836</v>
      </c>
    </row>
    <row r="122" customFormat="false" ht="18" hidden="false" customHeight="true" outlineLevel="0" collapsed="false">
      <c r="A122" s="45" t="s">
        <v>1046</v>
      </c>
      <c r="B122" s="46" t="s">
        <v>121</v>
      </c>
      <c r="C122" s="46" t="s">
        <v>1895</v>
      </c>
      <c r="D122" s="46" t="s">
        <v>1896</v>
      </c>
      <c r="E122" s="46" t="s">
        <v>1044</v>
      </c>
      <c r="F122" s="46" t="s">
        <v>1897</v>
      </c>
      <c r="G122" s="46" t="s">
        <v>128</v>
      </c>
      <c r="H122" s="46" t="s">
        <v>79</v>
      </c>
      <c r="I122" s="46" t="s">
        <v>1898</v>
      </c>
      <c r="J122" s="46" t="s">
        <v>1899</v>
      </c>
      <c r="K122" s="46" t="s">
        <v>1900</v>
      </c>
      <c r="L122" s="46" t="s">
        <v>1901</v>
      </c>
      <c r="M122" s="46" t="s">
        <v>1836</v>
      </c>
    </row>
    <row r="123" customFormat="false" ht="18" hidden="false" customHeight="true" outlineLevel="0" collapsed="false">
      <c r="A123" s="45" t="s">
        <v>675</v>
      </c>
      <c r="B123" s="46" t="s">
        <v>121</v>
      </c>
      <c r="C123" s="46" t="s">
        <v>1902</v>
      </c>
      <c r="D123" s="46" t="s">
        <v>1903</v>
      </c>
      <c r="E123" s="46" t="s">
        <v>673</v>
      </c>
      <c r="F123" s="46" t="s">
        <v>1904</v>
      </c>
      <c r="G123" s="46" t="s">
        <v>128</v>
      </c>
      <c r="H123" s="46"/>
      <c r="I123" s="46" t="s">
        <v>1905</v>
      </c>
      <c r="J123" s="46" t="s">
        <v>1906</v>
      </c>
      <c r="K123" s="46" t="s">
        <v>1627</v>
      </c>
      <c r="L123" s="46" t="s">
        <v>1907</v>
      </c>
      <c r="M123" s="46" t="s">
        <v>151</v>
      </c>
    </row>
    <row r="124" customFormat="false" ht="18" hidden="false" customHeight="true" outlineLevel="0" collapsed="false">
      <c r="A124" s="45" t="s">
        <v>207</v>
      </c>
      <c r="B124" s="46" t="s">
        <v>121</v>
      </c>
      <c r="C124" s="46" t="s">
        <v>1908</v>
      </c>
      <c r="D124" s="46" t="s">
        <v>1909</v>
      </c>
      <c r="E124" s="46" t="s">
        <v>205</v>
      </c>
      <c r="F124" s="46" t="s">
        <v>1910</v>
      </c>
      <c r="G124" s="46" t="s">
        <v>128</v>
      </c>
      <c r="H124" s="46" t="s">
        <v>79</v>
      </c>
      <c r="I124" s="46" t="s">
        <v>1911</v>
      </c>
      <c r="J124" s="46" t="s">
        <v>1912</v>
      </c>
      <c r="K124" s="46" t="s">
        <v>1272</v>
      </c>
      <c r="L124" s="46" t="s">
        <v>1913</v>
      </c>
      <c r="M124" s="46" t="s">
        <v>1819</v>
      </c>
    </row>
    <row r="125" customFormat="false" ht="18" hidden="false" customHeight="true" outlineLevel="0" collapsed="false">
      <c r="A125" s="45" t="s">
        <v>637</v>
      </c>
      <c r="B125" s="46" t="s">
        <v>121</v>
      </c>
      <c r="C125" s="46" t="s">
        <v>1914</v>
      </c>
      <c r="D125" s="46" t="s">
        <v>1915</v>
      </c>
      <c r="E125" s="46" t="s">
        <v>635</v>
      </c>
      <c r="F125" s="46" t="s">
        <v>1916</v>
      </c>
      <c r="G125" s="46" t="s">
        <v>1917</v>
      </c>
      <c r="H125" s="46" t="s">
        <v>79</v>
      </c>
      <c r="I125" s="46" t="s">
        <v>1918</v>
      </c>
      <c r="J125" s="46" t="s">
        <v>1919</v>
      </c>
      <c r="K125" s="46" t="s">
        <v>1280</v>
      </c>
      <c r="L125" s="46" t="s">
        <v>1920</v>
      </c>
      <c r="M125" s="46"/>
    </row>
    <row r="126" customFormat="false" ht="18" hidden="false" customHeight="true" outlineLevel="0" collapsed="false">
      <c r="A126" s="45" t="s">
        <v>1921</v>
      </c>
      <c r="B126" s="46" t="s">
        <v>121</v>
      </c>
      <c r="C126" s="46" t="s">
        <v>1922</v>
      </c>
      <c r="D126" s="46" t="s">
        <v>1923</v>
      </c>
      <c r="E126" s="46" t="s">
        <v>322</v>
      </c>
      <c r="F126" s="46" t="s">
        <v>1924</v>
      </c>
      <c r="G126" s="46" t="s">
        <v>324</v>
      </c>
      <c r="H126" s="46" t="s">
        <v>80</v>
      </c>
      <c r="I126" s="46" t="s">
        <v>1925</v>
      </c>
      <c r="J126" s="46" t="s">
        <v>1926</v>
      </c>
      <c r="K126" s="46" t="s">
        <v>1272</v>
      </c>
      <c r="L126" s="46" t="s">
        <v>1927</v>
      </c>
      <c r="M126" s="46" t="s">
        <v>1836</v>
      </c>
    </row>
    <row r="127" customFormat="false" ht="18" hidden="false" customHeight="true" outlineLevel="0" collapsed="false">
      <c r="A127" s="45" t="s">
        <v>301</v>
      </c>
      <c r="B127" s="46" t="s">
        <v>121</v>
      </c>
      <c r="C127" s="46" t="s">
        <v>1928</v>
      </c>
      <c r="D127" s="46" t="s">
        <v>1929</v>
      </c>
      <c r="E127" s="46" t="s">
        <v>299</v>
      </c>
      <c r="F127" s="46" t="s">
        <v>1930</v>
      </c>
      <c r="G127" s="46" t="s">
        <v>128</v>
      </c>
      <c r="H127" s="46" t="s">
        <v>79</v>
      </c>
      <c r="I127" s="46" t="s">
        <v>1931</v>
      </c>
      <c r="J127" s="46" t="s">
        <v>1932</v>
      </c>
      <c r="K127" s="46" t="s">
        <v>1130</v>
      </c>
      <c r="L127" s="46" t="s">
        <v>1933</v>
      </c>
      <c r="M127" s="46" t="s">
        <v>1851</v>
      </c>
    </row>
    <row r="128" customFormat="false" ht="18" hidden="false" customHeight="true" outlineLevel="0" collapsed="false">
      <c r="A128" s="45" t="s">
        <v>122</v>
      </c>
      <c r="B128" s="46" t="s">
        <v>121</v>
      </c>
      <c r="C128" s="46" t="s">
        <v>1934</v>
      </c>
      <c r="D128" s="46" t="s">
        <v>1935</v>
      </c>
      <c r="E128" s="46" t="s">
        <v>118</v>
      </c>
      <c r="F128" s="46" t="s">
        <v>1936</v>
      </c>
      <c r="G128" s="46" t="s">
        <v>1235</v>
      </c>
      <c r="H128" s="46" t="s">
        <v>80</v>
      </c>
      <c r="I128" s="46" t="s">
        <v>1937</v>
      </c>
      <c r="J128" s="46" t="s">
        <v>1938</v>
      </c>
      <c r="K128" s="46" t="s">
        <v>1130</v>
      </c>
      <c r="L128" s="46" t="s">
        <v>1939</v>
      </c>
      <c r="M128" s="46"/>
    </row>
    <row r="129" customFormat="false" ht="18" hidden="false" customHeight="true" outlineLevel="0" collapsed="false">
      <c r="A129" s="45" t="s">
        <v>1010</v>
      </c>
      <c r="B129" s="46" t="s">
        <v>121</v>
      </c>
      <c r="C129" s="46" t="s">
        <v>1940</v>
      </c>
      <c r="D129" s="46" t="s">
        <v>1941</v>
      </c>
      <c r="E129" s="46" t="s">
        <v>1008</v>
      </c>
      <c r="F129" s="46" t="s">
        <v>1942</v>
      </c>
      <c r="G129" s="46" t="s">
        <v>81</v>
      </c>
      <c r="H129" s="46"/>
      <c r="I129" s="46" t="s">
        <v>1841</v>
      </c>
      <c r="J129" s="46" t="s">
        <v>1943</v>
      </c>
      <c r="K129" s="46" t="s">
        <v>1130</v>
      </c>
      <c r="L129" s="46" t="s">
        <v>1944</v>
      </c>
      <c r="M129" s="46" t="s">
        <v>1851</v>
      </c>
    </row>
    <row r="130" customFormat="false" ht="18" hidden="false" customHeight="true" outlineLevel="0" collapsed="false">
      <c r="A130" s="45" t="s">
        <v>1945</v>
      </c>
      <c r="B130" s="46" t="s">
        <v>121</v>
      </c>
      <c r="C130" s="46" t="s">
        <v>1946</v>
      </c>
      <c r="D130" s="46" t="s">
        <v>1419</v>
      </c>
      <c r="E130" s="46" t="s">
        <v>380</v>
      </c>
      <c r="F130" s="46" t="s">
        <v>1947</v>
      </c>
      <c r="G130" s="46" t="s">
        <v>1824</v>
      </c>
      <c r="H130" s="46" t="s">
        <v>79</v>
      </c>
      <c r="I130" s="46" t="s">
        <v>1948</v>
      </c>
      <c r="J130" s="46" t="s">
        <v>1949</v>
      </c>
      <c r="K130" s="46" t="s">
        <v>1950</v>
      </c>
      <c r="L130" s="46" t="s">
        <v>1951</v>
      </c>
      <c r="M130" s="46" t="s">
        <v>1851</v>
      </c>
    </row>
    <row r="131" customFormat="false" ht="18" hidden="false" customHeight="true" outlineLevel="0" collapsed="false">
      <c r="A131" s="45" t="s">
        <v>563</v>
      </c>
      <c r="B131" s="46" t="s">
        <v>121</v>
      </c>
      <c r="C131" s="46" t="s">
        <v>1952</v>
      </c>
      <c r="D131" s="46" t="s">
        <v>1953</v>
      </c>
      <c r="E131" s="46" t="s">
        <v>561</v>
      </c>
      <c r="F131" s="46" t="s">
        <v>1954</v>
      </c>
      <c r="G131" s="46" t="s">
        <v>1824</v>
      </c>
      <c r="H131" s="46"/>
      <c r="I131" s="46" t="s">
        <v>1955</v>
      </c>
      <c r="J131" s="46" t="s">
        <v>1956</v>
      </c>
      <c r="K131" s="46" t="s">
        <v>1513</v>
      </c>
      <c r="L131" s="46" t="s">
        <v>1957</v>
      </c>
      <c r="M131" s="46" t="s">
        <v>1851</v>
      </c>
    </row>
    <row r="132" customFormat="false" ht="18" hidden="false" customHeight="true" outlineLevel="0" collapsed="false">
      <c r="A132" s="45" t="s">
        <v>1958</v>
      </c>
      <c r="B132" s="46" t="s">
        <v>121</v>
      </c>
      <c r="C132" s="46" t="s">
        <v>1959</v>
      </c>
      <c r="D132" s="46" t="s">
        <v>1153</v>
      </c>
      <c r="E132" s="46" t="s">
        <v>487</v>
      </c>
      <c r="F132" s="46" t="s">
        <v>1960</v>
      </c>
      <c r="G132" s="46" t="s">
        <v>1496</v>
      </c>
      <c r="H132" s="46" t="s">
        <v>84</v>
      </c>
      <c r="I132" s="46" t="s">
        <v>1961</v>
      </c>
      <c r="J132" s="46" t="s">
        <v>1962</v>
      </c>
      <c r="K132" s="46" t="s">
        <v>1130</v>
      </c>
      <c r="L132" s="46" t="s">
        <v>1963</v>
      </c>
      <c r="M132" s="46" t="s">
        <v>1836</v>
      </c>
    </row>
    <row r="133" customFormat="false" ht="18" hidden="false" customHeight="true" outlineLevel="0" collapsed="false">
      <c r="A133" s="45" t="s">
        <v>1964</v>
      </c>
      <c r="B133" s="46" t="s">
        <v>121</v>
      </c>
      <c r="C133" s="46" t="s">
        <v>1965</v>
      </c>
      <c r="D133" s="46" t="s">
        <v>1966</v>
      </c>
      <c r="E133" s="46" t="s">
        <v>988</v>
      </c>
      <c r="F133" s="46" t="s">
        <v>1967</v>
      </c>
      <c r="G133" s="46" t="s">
        <v>1564</v>
      </c>
      <c r="H133" s="46" t="s">
        <v>80</v>
      </c>
      <c r="I133" s="46" t="s">
        <v>1968</v>
      </c>
      <c r="J133" s="46" t="s">
        <v>1969</v>
      </c>
      <c r="K133" s="46" t="s">
        <v>1224</v>
      </c>
      <c r="L133" s="46" t="s">
        <v>1970</v>
      </c>
      <c r="M133" s="46" t="s">
        <v>1851</v>
      </c>
    </row>
    <row r="134" customFormat="false" ht="18" hidden="false" customHeight="true" outlineLevel="0" collapsed="false">
      <c r="A134" s="45" t="s">
        <v>841</v>
      </c>
      <c r="B134" s="46" t="s">
        <v>121</v>
      </c>
      <c r="C134" s="46" t="s">
        <v>1971</v>
      </c>
      <c r="D134" s="46" t="s">
        <v>1972</v>
      </c>
      <c r="E134" s="46" t="s">
        <v>1973</v>
      </c>
      <c r="F134" s="46" t="s">
        <v>1974</v>
      </c>
      <c r="G134" s="46" t="s">
        <v>1975</v>
      </c>
      <c r="H134" s="46" t="s">
        <v>79</v>
      </c>
      <c r="I134" s="46" t="s">
        <v>1976</v>
      </c>
      <c r="J134" s="46" t="s">
        <v>1977</v>
      </c>
      <c r="K134" s="46" t="s">
        <v>1978</v>
      </c>
      <c r="L134" s="46" t="s">
        <v>1979</v>
      </c>
      <c r="M134" s="46" t="s">
        <v>151</v>
      </c>
    </row>
    <row r="135" customFormat="false" ht="18" hidden="false" customHeight="true" outlineLevel="0" collapsed="false">
      <c r="A135" s="45" t="s">
        <v>318</v>
      </c>
      <c r="B135" s="46" t="s">
        <v>121</v>
      </c>
      <c r="C135" s="46" t="s">
        <v>1980</v>
      </c>
      <c r="D135" s="46" t="s">
        <v>1981</v>
      </c>
      <c r="E135" s="46" t="s">
        <v>316</v>
      </c>
      <c r="F135" s="46" t="s">
        <v>1982</v>
      </c>
      <c r="G135" s="46" t="s">
        <v>257</v>
      </c>
      <c r="H135" s="46" t="s">
        <v>81</v>
      </c>
      <c r="I135" s="46" t="s">
        <v>1983</v>
      </c>
      <c r="J135" s="46" t="s">
        <v>1984</v>
      </c>
      <c r="K135" s="46" t="s">
        <v>1381</v>
      </c>
      <c r="L135" s="46" t="s">
        <v>1985</v>
      </c>
      <c r="M135" s="46" t="s">
        <v>1819</v>
      </c>
    </row>
    <row r="136" customFormat="false" ht="18" hidden="false" customHeight="true" outlineLevel="0" collapsed="false">
      <c r="A136" s="45" t="s">
        <v>1986</v>
      </c>
      <c r="B136" s="46" t="s">
        <v>121</v>
      </c>
      <c r="C136" s="46" t="s">
        <v>1987</v>
      </c>
      <c r="D136" s="46" t="s">
        <v>1502</v>
      </c>
      <c r="E136" s="46" t="s">
        <v>762</v>
      </c>
      <c r="F136" s="46" t="s">
        <v>1504</v>
      </c>
      <c r="G136" s="46" t="s">
        <v>1505</v>
      </c>
      <c r="H136" s="46"/>
      <c r="I136" s="46" t="s">
        <v>1988</v>
      </c>
      <c r="J136" s="46" t="s">
        <v>1989</v>
      </c>
      <c r="K136" s="46" t="s">
        <v>1140</v>
      </c>
      <c r="L136" s="46" t="s">
        <v>1990</v>
      </c>
      <c r="M136" s="46"/>
    </row>
    <row r="137" customFormat="false" ht="18" hidden="false" customHeight="true" outlineLevel="0" collapsed="false">
      <c r="A137" s="45" t="s">
        <v>826</v>
      </c>
      <c r="B137" s="46" t="s">
        <v>121</v>
      </c>
      <c r="C137" s="46" t="s">
        <v>1991</v>
      </c>
      <c r="D137" s="46" t="s">
        <v>1992</v>
      </c>
      <c r="E137" s="46" t="s">
        <v>824</v>
      </c>
      <c r="F137" s="46" t="s">
        <v>1993</v>
      </c>
      <c r="G137" s="46" t="s">
        <v>1105</v>
      </c>
      <c r="H137" s="46" t="s">
        <v>79</v>
      </c>
      <c r="I137" s="46" t="s">
        <v>1994</v>
      </c>
      <c r="J137" s="46" t="s">
        <v>1995</v>
      </c>
      <c r="K137" s="46" t="s">
        <v>1165</v>
      </c>
      <c r="L137" s="46" t="s">
        <v>1996</v>
      </c>
      <c r="M137" s="46" t="s">
        <v>1836</v>
      </c>
    </row>
    <row r="138" customFormat="false" ht="18" hidden="false" customHeight="true" outlineLevel="0" collapsed="false">
      <c r="A138" s="45" t="s">
        <v>1997</v>
      </c>
      <c r="B138" s="46" t="s">
        <v>121</v>
      </c>
      <c r="C138" s="46" t="s">
        <v>1998</v>
      </c>
      <c r="D138" s="46" t="s">
        <v>1999</v>
      </c>
      <c r="E138" s="46" t="s">
        <v>421</v>
      </c>
      <c r="F138" s="46" t="s">
        <v>2000</v>
      </c>
      <c r="G138" s="46" t="s">
        <v>137</v>
      </c>
      <c r="H138" s="46"/>
      <c r="I138" s="46" t="s">
        <v>2001</v>
      </c>
      <c r="J138" s="46" t="s">
        <v>2002</v>
      </c>
      <c r="K138" s="46" t="s">
        <v>1140</v>
      </c>
      <c r="L138" s="46" t="s">
        <v>2003</v>
      </c>
      <c r="M138" s="46"/>
    </row>
    <row r="139" customFormat="false" ht="18" hidden="false" customHeight="true" outlineLevel="0" collapsed="false">
      <c r="A139" s="45" t="s">
        <v>1064</v>
      </c>
      <c r="B139" s="46" t="s">
        <v>121</v>
      </c>
      <c r="C139" s="46" t="s">
        <v>2004</v>
      </c>
      <c r="D139" s="46" t="s">
        <v>2005</v>
      </c>
      <c r="E139" s="46" t="s">
        <v>1062</v>
      </c>
      <c r="F139" s="46" t="s">
        <v>2006</v>
      </c>
      <c r="G139" s="46" t="s">
        <v>120</v>
      </c>
      <c r="H139" s="46"/>
      <c r="I139" s="46" t="s">
        <v>2007</v>
      </c>
      <c r="J139" s="46" t="s">
        <v>2008</v>
      </c>
      <c r="K139" s="46" t="s">
        <v>1900</v>
      </c>
      <c r="L139" s="46" t="s">
        <v>2009</v>
      </c>
      <c r="M139" s="46" t="s">
        <v>1851</v>
      </c>
    </row>
    <row r="140" customFormat="false" ht="18" hidden="false" customHeight="true" outlineLevel="0" collapsed="false">
      <c r="A140" s="45" t="s">
        <v>1051</v>
      </c>
      <c r="B140" s="46" t="s">
        <v>121</v>
      </c>
      <c r="C140" s="46" t="s">
        <v>2010</v>
      </c>
      <c r="D140" s="46" t="s">
        <v>2011</v>
      </c>
      <c r="E140" s="46" t="s">
        <v>1049</v>
      </c>
      <c r="F140" s="46" t="s">
        <v>2012</v>
      </c>
      <c r="G140" s="46" t="s">
        <v>1824</v>
      </c>
      <c r="H140" s="46"/>
      <c r="I140" s="46" t="s">
        <v>1899</v>
      </c>
      <c r="J140" s="46" t="s">
        <v>2013</v>
      </c>
      <c r="K140" s="46" t="s">
        <v>1108</v>
      </c>
      <c r="L140" s="46" t="s">
        <v>2014</v>
      </c>
      <c r="M140" s="46" t="s">
        <v>1851</v>
      </c>
    </row>
    <row r="141" customFormat="false" ht="18" hidden="false" customHeight="true" outlineLevel="0" collapsed="false">
      <c r="A141" s="45" t="s">
        <v>2015</v>
      </c>
      <c r="B141" s="46" t="s">
        <v>121</v>
      </c>
      <c r="C141" s="46" t="s">
        <v>2016</v>
      </c>
      <c r="D141" s="46" t="s">
        <v>2017</v>
      </c>
      <c r="E141" s="46" t="s">
        <v>766</v>
      </c>
      <c r="F141" s="46" t="s">
        <v>2018</v>
      </c>
      <c r="G141" s="46" t="s">
        <v>150</v>
      </c>
      <c r="H141" s="46"/>
      <c r="I141" s="46" t="s">
        <v>2019</v>
      </c>
      <c r="J141" s="46" t="s">
        <v>2020</v>
      </c>
      <c r="K141" s="46" t="s">
        <v>1158</v>
      </c>
      <c r="L141" s="46" t="s">
        <v>2021</v>
      </c>
      <c r="M141" s="46" t="s">
        <v>151</v>
      </c>
    </row>
    <row r="142" customFormat="false" ht="18" hidden="false" customHeight="true" outlineLevel="0" collapsed="false">
      <c r="A142" s="45" t="s">
        <v>1080</v>
      </c>
      <c r="B142" s="46" t="s">
        <v>121</v>
      </c>
      <c r="C142" s="46" t="s">
        <v>2022</v>
      </c>
      <c r="D142" s="46" t="s">
        <v>2023</v>
      </c>
      <c r="E142" s="46" t="s">
        <v>1078</v>
      </c>
      <c r="F142" s="46" t="s">
        <v>2024</v>
      </c>
      <c r="G142" s="46" t="s">
        <v>1564</v>
      </c>
      <c r="H142" s="46" t="s">
        <v>1216</v>
      </c>
      <c r="I142" s="46" t="s">
        <v>2025</v>
      </c>
      <c r="J142" s="46" t="s">
        <v>2026</v>
      </c>
      <c r="K142" s="46" t="s">
        <v>1130</v>
      </c>
      <c r="L142" s="46" t="s">
        <v>2027</v>
      </c>
      <c r="M142" s="46" t="s">
        <v>1851</v>
      </c>
    </row>
    <row r="143" customFormat="false" ht="18" hidden="false" customHeight="true" outlineLevel="0" collapsed="false">
      <c r="A143" s="45" t="s">
        <v>716</v>
      </c>
      <c r="B143" s="46" t="s">
        <v>121</v>
      </c>
      <c r="C143" s="46" t="s">
        <v>2028</v>
      </c>
      <c r="D143" s="46" t="s">
        <v>2029</v>
      </c>
      <c r="E143" s="46" t="s">
        <v>714</v>
      </c>
      <c r="F143" s="46" t="s">
        <v>2030</v>
      </c>
      <c r="G143" s="46" t="s">
        <v>128</v>
      </c>
      <c r="H143" s="46"/>
      <c r="I143" s="46" t="s">
        <v>2031</v>
      </c>
      <c r="J143" s="46" t="s">
        <v>2032</v>
      </c>
      <c r="K143" s="46" t="s">
        <v>1834</v>
      </c>
      <c r="L143" s="46" t="s">
        <v>2033</v>
      </c>
      <c r="M143" s="46" t="s">
        <v>2034</v>
      </c>
    </row>
    <row r="144" customFormat="false" ht="18" hidden="false" customHeight="true" outlineLevel="0" collapsed="false">
      <c r="A144" s="45" t="s">
        <v>953</v>
      </c>
      <c r="B144" s="46" t="s">
        <v>121</v>
      </c>
      <c r="C144" s="46" t="s">
        <v>2035</v>
      </c>
      <c r="D144" s="46" t="s">
        <v>2036</v>
      </c>
      <c r="E144" s="46" t="s">
        <v>951</v>
      </c>
      <c r="F144" s="46" t="s">
        <v>2037</v>
      </c>
      <c r="G144" s="46" t="s">
        <v>128</v>
      </c>
      <c r="H144" s="46"/>
      <c r="I144" s="46" t="s">
        <v>2038</v>
      </c>
      <c r="J144" s="46" t="s">
        <v>2039</v>
      </c>
      <c r="K144" s="46" t="s">
        <v>1849</v>
      </c>
      <c r="L144" s="46" t="s">
        <v>2040</v>
      </c>
      <c r="M144" s="46" t="s">
        <v>1836</v>
      </c>
    </row>
    <row r="145" customFormat="false" ht="18" hidden="false" customHeight="true" outlineLevel="0" collapsed="false">
      <c r="A145" s="45" t="s">
        <v>2041</v>
      </c>
      <c r="B145" s="46" t="s">
        <v>121</v>
      </c>
      <c r="C145" s="46" t="s">
        <v>2042</v>
      </c>
      <c r="D145" s="46" t="s">
        <v>2043</v>
      </c>
      <c r="E145" s="46" t="s">
        <v>900</v>
      </c>
      <c r="F145" s="46" t="s">
        <v>2044</v>
      </c>
      <c r="G145" s="46" t="s">
        <v>2045</v>
      </c>
      <c r="H145" s="46"/>
      <c r="I145" s="46" t="s">
        <v>2046</v>
      </c>
      <c r="J145" s="46" t="s">
        <v>2047</v>
      </c>
      <c r="K145" s="46" t="s">
        <v>1887</v>
      </c>
      <c r="L145" s="46" t="s">
        <v>2048</v>
      </c>
      <c r="M145" s="46" t="s">
        <v>151</v>
      </c>
    </row>
    <row r="146" customFormat="false" ht="18" hidden="false" customHeight="true" outlineLevel="0" collapsed="false">
      <c r="A146" s="45" t="s">
        <v>2049</v>
      </c>
      <c r="B146" s="46" t="s">
        <v>121</v>
      </c>
      <c r="C146" s="46" t="s">
        <v>2050</v>
      </c>
      <c r="D146" s="46" t="s">
        <v>2051</v>
      </c>
      <c r="E146" s="46" t="s">
        <v>2052</v>
      </c>
      <c r="F146" s="46" t="s">
        <v>2053</v>
      </c>
      <c r="G146" s="46" t="s">
        <v>150</v>
      </c>
      <c r="H146" s="46" t="s">
        <v>80</v>
      </c>
      <c r="I146" s="46" t="s">
        <v>2054</v>
      </c>
      <c r="J146" s="46" t="s">
        <v>2055</v>
      </c>
      <c r="K146" s="46" t="s">
        <v>1149</v>
      </c>
      <c r="L146" s="46" t="s">
        <v>1850</v>
      </c>
      <c r="M146" s="46"/>
    </row>
    <row r="147" customFormat="false" ht="18" hidden="false" customHeight="true" outlineLevel="0" collapsed="false">
      <c r="A147" s="45" t="s">
        <v>171</v>
      </c>
      <c r="B147" s="46" t="s">
        <v>121</v>
      </c>
      <c r="C147" s="46" t="s">
        <v>2056</v>
      </c>
      <c r="D147" s="46" t="s">
        <v>2057</v>
      </c>
      <c r="E147" s="46" t="s">
        <v>2058</v>
      </c>
      <c r="F147" s="46" t="s">
        <v>2059</v>
      </c>
      <c r="G147" s="46" t="s">
        <v>170</v>
      </c>
      <c r="H147" s="46" t="s">
        <v>82</v>
      </c>
      <c r="I147" s="46" t="s">
        <v>2060</v>
      </c>
      <c r="J147" s="46" t="s">
        <v>2061</v>
      </c>
      <c r="K147" s="46" t="s">
        <v>2062</v>
      </c>
      <c r="L147" s="46" t="s">
        <v>2063</v>
      </c>
      <c r="M147" s="46" t="s">
        <v>1851</v>
      </c>
    </row>
    <row r="148" customFormat="false" ht="18" hidden="false" customHeight="true" outlineLevel="0" collapsed="false">
      <c r="A148" s="45" t="s">
        <v>2064</v>
      </c>
      <c r="B148" s="46" t="s">
        <v>121</v>
      </c>
      <c r="C148" s="46" t="s">
        <v>2065</v>
      </c>
      <c r="D148" s="46" t="s">
        <v>2066</v>
      </c>
      <c r="E148" s="46" t="s">
        <v>700</v>
      </c>
      <c r="F148" s="46" t="s">
        <v>2067</v>
      </c>
      <c r="G148" s="46" t="s">
        <v>1505</v>
      </c>
      <c r="H148" s="46" t="s">
        <v>83</v>
      </c>
      <c r="I148" s="46" t="s">
        <v>2068</v>
      </c>
      <c r="J148" s="46" t="s">
        <v>2069</v>
      </c>
      <c r="K148" s="46" t="s">
        <v>1140</v>
      </c>
      <c r="L148" s="46" t="s">
        <v>2070</v>
      </c>
      <c r="M148" s="46"/>
    </row>
    <row r="149" customFormat="false" ht="18" hidden="false" customHeight="true" outlineLevel="0" collapsed="false">
      <c r="A149" s="45" t="s">
        <v>158</v>
      </c>
      <c r="B149" s="46" t="s">
        <v>121</v>
      </c>
      <c r="C149" s="46" t="s">
        <v>2071</v>
      </c>
      <c r="D149" s="46" t="s">
        <v>2072</v>
      </c>
      <c r="E149" s="46" t="s">
        <v>156</v>
      </c>
      <c r="F149" s="46" t="s">
        <v>2073</v>
      </c>
      <c r="G149" s="46" t="s">
        <v>150</v>
      </c>
      <c r="H149" s="46" t="s">
        <v>80</v>
      </c>
      <c r="I149" s="46" t="s">
        <v>2074</v>
      </c>
      <c r="J149" s="46" t="s">
        <v>2075</v>
      </c>
      <c r="K149" s="46" t="s">
        <v>1130</v>
      </c>
      <c r="L149" s="46" t="s">
        <v>2076</v>
      </c>
      <c r="M149" s="46" t="s">
        <v>1836</v>
      </c>
    </row>
    <row r="150" customFormat="false" ht="18" hidden="false" customHeight="true" outlineLevel="0" collapsed="false">
      <c r="A150" s="45" t="s">
        <v>968</v>
      </c>
      <c r="B150" s="46" t="s">
        <v>121</v>
      </c>
      <c r="C150" s="46" t="s">
        <v>2077</v>
      </c>
      <c r="D150" s="46" t="s">
        <v>2078</v>
      </c>
      <c r="E150" s="46" t="s">
        <v>966</v>
      </c>
      <c r="F150" s="46" t="s">
        <v>2079</v>
      </c>
      <c r="G150" s="46" t="s">
        <v>324</v>
      </c>
      <c r="H150" s="46" t="s">
        <v>80</v>
      </c>
      <c r="I150" s="46" t="s">
        <v>2080</v>
      </c>
      <c r="J150" s="46" t="s">
        <v>2081</v>
      </c>
      <c r="K150" s="46" t="s">
        <v>1149</v>
      </c>
      <c r="L150" s="46" t="s">
        <v>2082</v>
      </c>
      <c r="M150" s="46" t="s">
        <v>1836</v>
      </c>
    </row>
    <row r="151" customFormat="false" ht="18" hidden="false" customHeight="true" outlineLevel="0" collapsed="false">
      <c r="A151" s="45" t="s">
        <v>502</v>
      </c>
      <c r="B151" s="46" t="s">
        <v>121</v>
      </c>
      <c r="C151" s="46" t="s">
        <v>2083</v>
      </c>
      <c r="D151" s="46" t="s">
        <v>2084</v>
      </c>
      <c r="E151" s="46"/>
      <c r="F151" s="46" t="s">
        <v>2085</v>
      </c>
      <c r="G151" s="46" t="s">
        <v>1975</v>
      </c>
      <c r="H151" s="46" t="s">
        <v>79</v>
      </c>
      <c r="I151" s="46" t="s">
        <v>2086</v>
      </c>
      <c r="J151" s="46" t="s">
        <v>2087</v>
      </c>
      <c r="K151" s="46" t="s">
        <v>2088</v>
      </c>
      <c r="L151" s="46" t="s">
        <v>2089</v>
      </c>
      <c r="M151" s="46" t="s">
        <v>130</v>
      </c>
    </row>
    <row r="152" customFormat="false" ht="18" hidden="false" customHeight="true" outlineLevel="0" collapsed="false">
      <c r="A152" s="45" t="s">
        <v>2090</v>
      </c>
      <c r="B152" s="46" t="s">
        <v>121</v>
      </c>
      <c r="C152" s="46" t="s">
        <v>2091</v>
      </c>
      <c r="D152" s="46" t="s">
        <v>2092</v>
      </c>
      <c r="E152" s="46" t="s">
        <v>2093</v>
      </c>
      <c r="F152" s="46" t="s">
        <v>2094</v>
      </c>
      <c r="G152" s="46" t="s">
        <v>1577</v>
      </c>
      <c r="H152" s="46"/>
      <c r="I152" s="46" t="s">
        <v>2095</v>
      </c>
      <c r="J152" s="46" t="s">
        <v>2096</v>
      </c>
      <c r="K152" s="46" t="s">
        <v>1149</v>
      </c>
      <c r="L152" s="46" t="s">
        <v>2097</v>
      </c>
      <c r="M152" s="46" t="s">
        <v>151</v>
      </c>
    </row>
    <row r="153" customFormat="false" ht="18" hidden="false" customHeight="true" outlineLevel="0" collapsed="false">
      <c r="A153" s="45" t="s">
        <v>2098</v>
      </c>
      <c r="B153" s="46" t="s">
        <v>121</v>
      </c>
      <c r="C153" s="46" t="s">
        <v>2099</v>
      </c>
      <c r="D153" s="46" t="s">
        <v>2100</v>
      </c>
      <c r="E153" s="46" t="s">
        <v>2101</v>
      </c>
      <c r="F153" s="46" t="s">
        <v>2102</v>
      </c>
      <c r="G153" s="46" t="s">
        <v>128</v>
      </c>
      <c r="H153" s="46" t="s">
        <v>1243</v>
      </c>
      <c r="I153" s="46" t="s">
        <v>2103</v>
      </c>
      <c r="J153" s="46" t="s">
        <v>2104</v>
      </c>
      <c r="K153" s="46" t="s">
        <v>2105</v>
      </c>
      <c r="L153" s="46" t="s">
        <v>2106</v>
      </c>
      <c r="M153" s="46" t="s">
        <v>1836</v>
      </c>
    </row>
    <row r="154" customFormat="false" ht="18" hidden="false" customHeight="true" outlineLevel="0" collapsed="false">
      <c r="A154" s="45" t="s">
        <v>2107</v>
      </c>
      <c r="B154" s="46" t="s">
        <v>121</v>
      </c>
      <c r="C154" s="46" t="s">
        <v>2108</v>
      </c>
      <c r="D154" s="46" t="s">
        <v>2109</v>
      </c>
      <c r="E154" s="46" t="s">
        <v>2110</v>
      </c>
      <c r="F154" s="46" t="s">
        <v>2111</v>
      </c>
      <c r="G154" s="46" t="s">
        <v>137</v>
      </c>
      <c r="H154" s="46"/>
      <c r="I154" s="46" t="s">
        <v>2112</v>
      </c>
      <c r="J154" s="46" t="s">
        <v>2113</v>
      </c>
      <c r="K154" s="46" t="s">
        <v>1849</v>
      </c>
      <c r="L154" s="46" t="s">
        <v>2114</v>
      </c>
      <c r="M154" s="46" t="s">
        <v>1836</v>
      </c>
    </row>
    <row r="155" customFormat="false" ht="18" hidden="false" customHeight="true" outlineLevel="0" collapsed="false">
      <c r="A155" s="45" t="s">
        <v>2115</v>
      </c>
      <c r="B155" s="46" t="s">
        <v>121</v>
      </c>
      <c r="C155" s="46" t="s">
        <v>2116</v>
      </c>
      <c r="D155" s="46" t="s">
        <v>2117</v>
      </c>
      <c r="E155" s="46" t="s">
        <v>524</v>
      </c>
      <c r="F155" s="46" t="s">
        <v>2118</v>
      </c>
      <c r="G155" s="46" t="s">
        <v>137</v>
      </c>
      <c r="H155" s="46" t="s">
        <v>83</v>
      </c>
      <c r="I155" s="46" t="s">
        <v>2119</v>
      </c>
      <c r="J155" s="46" t="s">
        <v>2120</v>
      </c>
      <c r="K155" s="46" t="s">
        <v>1140</v>
      </c>
      <c r="L155" s="46" t="s">
        <v>2121</v>
      </c>
      <c r="M155" s="46" t="s">
        <v>1836</v>
      </c>
    </row>
    <row r="156" customFormat="false" ht="18" hidden="false" customHeight="true" outlineLevel="0" collapsed="false">
      <c r="A156" s="45" t="s">
        <v>378</v>
      </c>
      <c r="B156" s="46" t="s">
        <v>121</v>
      </c>
      <c r="C156" s="46" t="s">
        <v>2122</v>
      </c>
      <c r="D156" s="46" t="s">
        <v>2123</v>
      </c>
      <c r="E156" s="46"/>
      <c r="F156" s="46" t="s">
        <v>2124</v>
      </c>
      <c r="G156" s="46" t="s">
        <v>128</v>
      </c>
      <c r="H156" s="46" t="s">
        <v>79</v>
      </c>
      <c r="I156" s="46" t="s">
        <v>1948</v>
      </c>
      <c r="J156" s="46" t="s">
        <v>2125</v>
      </c>
      <c r="K156" s="46" t="s">
        <v>1879</v>
      </c>
      <c r="L156" s="46" t="s">
        <v>2126</v>
      </c>
      <c r="M156" s="46" t="s">
        <v>151</v>
      </c>
    </row>
    <row r="157" customFormat="false" ht="18" hidden="false" customHeight="true" outlineLevel="0" collapsed="false">
      <c r="A157" s="45" t="s">
        <v>2127</v>
      </c>
      <c r="B157" s="46" t="s">
        <v>121</v>
      </c>
      <c r="C157" s="46" t="s">
        <v>2128</v>
      </c>
      <c r="D157" s="46" t="s">
        <v>1704</v>
      </c>
      <c r="E157" s="46" t="s">
        <v>2129</v>
      </c>
      <c r="F157" s="46" t="s">
        <v>2130</v>
      </c>
      <c r="G157" s="46" t="s">
        <v>1577</v>
      </c>
      <c r="H157" s="46"/>
      <c r="I157" s="46" t="s">
        <v>2131</v>
      </c>
      <c r="J157" s="46" t="s">
        <v>2132</v>
      </c>
      <c r="K157" s="46" t="s">
        <v>1849</v>
      </c>
      <c r="L157" s="46" t="s">
        <v>2133</v>
      </c>
      <c r="M157" s="46" t="s">
        <v>151</v>
      </c>
    </row>
    <row r="158" customFormat="false" ht="18" hidden="false" customHeight="true" outlineLevel="0" collapsed="false">
      <c r="A158" s="45" t="s">
        <v>2134</v>
      </c>
      <c r="B158" s="46" t="s">
        <v>121</v>
      </c>
      <c r="C158" s="46" t="s">
        <v>2135</v>
      </c>
      <c r="D158" s="46" t="s">
        <v>2136</v>
      </c>
      <c r="E158" s="46" t="s">
        <v>2137</v>
      </c>
      <c r="F158" s="46" t="s">
        <v>2138</v>
      </c>
      <c r="G158" s="46" t="s">
        <v>163</v>
      </c>
      <c r="H158" s="46" t="s">
        <v>1173</v>
      </c>
      <c r="I158" s="46" t="s">
        <v>2139</v>
      </c>
      <c r="J158" s="46" t="s">
        <v>2140</v>
      </c>
      <c r="K158" s="46" t="s">
        <v>1108</v>
      </c>
      <c r="L158" s="46" t="s">
        <v>2141</v>
      </c>
      <c r="M158" s="46" t="s">
        <v>1836</v>
      </c>
    </row>
    <row r="159" customFormat="false" ht="18" hidden="false" customHeight="true" outlineLevel="0" collapsed="false">
      <c r="A159" s="45" t="s">
        <v>559</v>
      </c>
      <c r="B159" s="46" t="s">
        <v>121</v>
      </c>
      <c r="C159" s="46" t="s">
        <v>2142</v>
      </c>
      <c r="D159" s="46" t="s">
        <v>2143</v>
      </c>
      <c r="E159" s="46"/>
      <c r="F159" s="46" t="s">
        <v>2144</v>
      </c>
      <c r="G159" s="46" t="s">
        <v>1564</v>
      </c>
      <c r="H159" s="46" t="s">
        <v>1216</v>
      </c>
      <c r="I159" s="46" t="s">
        <v>2145</v>
      </c>
      <c r="J159" s="46" t="s">
        <v>2146</v>
      </c>
      <c r="K159" s="46" t="s">
        <v>1224</v>
      </c>
      <c r="L159" s="46" t="s">
        <v>2147</v>
      </c>
      <c r="M159" s="46" t="s">
        <v>1851</v>
      </c>
    </row>
    <row r="160" customFormat="false" ht="18" hidden="false" customHeight="true" outlineLevel="0" collapsed="false">
      <c r="A160" s="45" t="s">
        <v>432</v>
      </c>
      <c r="B160" s="46" t="s">
        <v>121</v>
      </c>
      <c r="C160" s="46" t="s">
        <v>2148</v>
      </c>
      <c r="D160" s="46" t="s">
        <v>2149</v>
      </c>
      <c r="E160" s="46"/>
      <c r="F160" s="46" t="s">
        <v>2150</v>
      </c>
      <c r="G160" s="46" t="s">
        <v>1337</v>
      </c>
      <c r="H160" s="46"/>
      <c r="I160" s="46" t="s">
        <v>2151</v>
      </c>
      <c r="J160" s="46" t="s">
        <v>2152</v>
      </c>
      <c r="K160" s="46" t="s">
        <v>1130</v>
      </c>
      <c r="L160" s="46" t="s">
        <v>2153</v>
      </c>
      <c r="M160" s="46" t="s">
        <v>1851</v>
      </c>
    </row>
    <row r="161" customFormat="false" ht="18" hidden="false" customHeight="true" outlineLevel="0" collapsed="false">
      <c r="A161" s="45" t="s">
        <v>707</v>
      </c>
      <c r="B161" s="46" t="s">
        <v>121</v>
      </c>
      <c r="C161" s="46" t="s">
        <v>2154</v>
      </c>
      <c r="D161" s="46" t="s">
        <v>2155</v>
      </c>
      <c r="E161" s="46" t="s">
        <v>705</v>
      </c>
      <c r="F161" s="46" t="s">
        <v>2156</v>
      </c>
      <c r="G161" s="46" t="s">
        <v>2157</v>
      </c>
      <c r="H161" s="46" t="s">
        <v>80</v>
      </c>
      <c r="I161" s="46" t="s">
        <v>2158</v>
      </c>
      <c r="J161" s="46" t="s">
        <v>2159</v>
      </c>
      <c r="K161" s="46" t="s">
        <v>1108</v>
      </c>
      <c r="L161" s="46" t="s">
        <v>2160</v>
      </c>
      <c r="M161" s="46" t="s">
        <v>1836</v>
      </c>
    </row>
    <row r="162" customFormat="false" ht="18" hidden="false" customHeight="true" outlineLevel="0" collapsed="false">
      <c r="A162" s="45" t="s">
        <v>144</v>
      </c>
      <c r="B162" s="46" t="s">
        <v>121</v>
      </c>
      <c r="C162" s="46" t="s">
        <v>2161</v>
      </c>
      <c r="D162" s="46" t="s">
        <v>2162</v>
      </c>
      <c r="E162" s="46" t="s">
        <v>142</v>
      </c>
      <c r="F162" s="46" t="s">
        <v>2163</v>
      </c>
      <c r="G162" s="46" t="s">
        <v>1201</v>
      </c>
      <c r="H162" s="46"/>
      <c r="I162" s="46" t="s">
        <v>2164</v>
      </c>
      <c r="J162" s="46" t="s">
        <v>2165</v>
      </c>
      <c r="K162" s="46" t="s">
        <v>1224</v>
      </c>
      <c r="L162" s="46" t="s">
        <v>2166</v>
      </c>
      <c r="M162" s="46" t="s">
        <v>2034</v>
      </c>
    </row>
    <row r="163" customFormat="false" ht="18" hidden="false" customHeight="true" outlineLevel="0" collapsed="false">
      <c r="A163" s="45" t="s">
        <v>2167</v>
      </c>
      <c r="B163" s="46" t="s">
        <v>121</v>
      </c>
      <c r="C163" s="46" t="s">
        <v>2168</v>
      </c>
      <c r="D163" s="46" t="s">
        <v>1788</v>
      </c>
      <c r="E163" s="46" t="s">
        <v>710</v>
      </c>
      <c r="F163" s="46" t="s">
        <v>1789</v>
      </c>
      <c r="G163" s="46" t="s">
        <v>128</v>
      </c>
      <c r="H163" s="46" t="s">
        <v>1173</v>
      </c>
      <c r="I163" s="46" t="s">
        <v>2169</v>
      </c>
      <c r="J163" s="46" t="s">
        <v>2170</v>
      </c>
      <c r="K163" s="46" t="s">
        <v>1224</v>
      </c>
      <c r="L163" s="46" t="s">
        <v>2171</v>
      </c>
      <c r="M163" s="46" t="s">
        <v>130</v>
      </c>
    </row>
    <row r="164" customFormat="false" ht="18" hidden="false" customHeight="true" outlineLevel="0" collapsed="false">
      <c r="A164" s="45" t="s">
        <v>1097</v>
      </c>
      <c r="B164" s="46" t="s">
        <v>121</v>
      </c>
      <c r="C164" s="46" t="s">
        <v>2172</v>
      </c>
      <c r="D164" s="46" t="s">
        <v>2173</v>
      </c>
      <c r="E164" s="46" t="s">
        <v>1095</v>
      </c>
      <c r="F164" s="46" t="s">
        <v>2174</v>
      </c>
      <c r="G164" s="46" t="s">
        <v>81</v>
      </c>
      <c r="H164" s="46" t="s">
        <v>81</v>
      </c>
      <c r="I164" s="46" t="s">
        <v>2175</v>
      </c>
      <c r="J164" s="46" t="s">
        <v>2175</v>
      </c>
      <c r="K164" s="46" t="s">
        <v>1900</v>
      </c>
      <c r="L164" s="46" t="s">
        <v>2176</v>
      </c>
      <c r="M164" s="46" t="s">
        <v>1819</v>
      </c>
    </row>
    <row r="165" customFormat="false" ht="18" hidden="false" customHeight="true" outlineLevel="0" collapsed="false">
      <c r="A165" s="45" t="s">
        <v>2177</v>
      </c>
      <c r="B165" s="46" t="s">
        <v>121</v>
      </c>
      <c r="C165" s="46" t="s">
        <v>2178</v>
      </c>
      <c r="D165" s="46" t="s">
        <v>2179</v>
      </c>
      <c r="E165" s="46" t="s">
        <v>2180</v>
      </c>
      <c r="F165" s="46" t="s">
        <v>2181</v>
      </c>
      <c r="G165" s="46" t="s">
        <v>1365</v>
      </c>
      <c r="H165" s="46" t="s">
        <v>82</v>
      </c>
      <c r="I165" s="46" t="s">
        <v>2182</v>
      </c>
      <c r="J165" s="46" t="s">
        <v>2183</v>
      </c>
      <c r="K165" s="46" t="s">
        <v>1108</v>
      </c>
      <c r="L165" s="46" t="s">
        <v>2184</v>
      </c>
      <c r="M165" s="46"/>
    </row>
    <row r="166" customFormat="false" ht="18" hidden="false" customHeight="true" outlineLevel="0" collapsed="false">
      <c r="A166" s="45" t="s">
        <v>962</v>
      </c>
      <c r="B166" s="46" t="s">
        <v>121</v>
      </c>
      <c r="C166" s="46" t="s">
        <v>2185</v>
      </c>
      <c r="D166" s="46" t="s">
        <v>2186</v>
      </c>
      <c r="E166" s="46" t="s">
        <v>960</v>
      </c>
      <c r="F166" s="46" t="s">
        <v>2187</v>
      </c>
      <c r="G166" s="46" t="s">
        <v>1172</v>
      </c>
      <c r="H166" s="46" t="s">
        <v>79</v>
      </c>
      <c r="I166" s="46" t="s">
        <v>2188</v>
      </c>
      <c r="J166" s="46" t="s">
        <v>2189</v>
      </c>
      <c r="K166" s="46" t="s">
        <v>1149</v>
      </c>
      <c r="L166" s="46" t="s">
        <v>2190</v>
      </c>
      <c r="M166" s="46" t="s">
        <v>1819</v>
      </c>
    </row>
    <row r="167" customFormat="false" ht="18" hidden="false" customHeight="true" outlineLevel="0" collapsed="false">
      <c r="A167" s="45" t="s">
        <v>2191</v>
      </c>
      <c r="B167" s="46" t="s">
        <v>121</v>
      </c>
      <c r="C167" s="46" t="s">
        <v>2192</v>
      </c>
      <c r="D167" s="46" t="s">
        <v>1494</v>
      </c>
      <c r="E167" s="46" t="s">
        <v>979</v>
      </c>
      <c r="F167" s="46" t="s">
        <v>1495</v>
      </c>
      <c r="G167" s="46" t="s">
        <v>295</v>
      </c>
      <c r="H167" s="46" t="s">
        <v>84</v>
      </c>
      <c r="I167" s="46" t="s">
        <v>2193</v>
      </c>
      <c r="J167" s="46" t="s">
        <v>2194</v>
      </c>
      <c r="K167" s="46" t="s">
        <v>1130</v>
      </c>
      <c r="L167" s="46" t="s">
        <v>2195</v>
      </c>
      <c r="M167" s="46" t="s">
        <v>1836</v>
      </c>
    </row>
    <row r="168" customFormat="false" ht="18" hidden="false" customHeight="true" outlineLevel="0" collapsed="false">
      <c r="A168" s="45" t="s">
        <v>2196</v>
      </c>
      <c r="B168" s="46" t="s">
        <v>121</v>
      </c>
      <c r="C168" s="46" t="s">
        <v>2197</v>
      </c>
      <c r="D168" s="46" t="s">
        <v>2198</v>
      </c>
      <c r="E168" s="46" t="s">
        <v>310</v>
      </c>
      <c r="F168" s="46" t="s">
        <v>2199</v>
      </c>
      <c r="G168" s="46" t="s">
        <v>1194</v>
      </c>
      <c r="H168" s="46"/>
      <c r="I168" s="46" t="s">
        <v>2200</v>
      </c>
      <c r="J168" s="46" t="s">
        <v>2201</v>
      </c>
      <c r="K168" s="46" t="s">
        <v>1108</v>
      </c>
      <c r="L168" s="46" t="s">
        <v>2202</v>
      </c>
      <c r="M168" s="46" t="s">
        <v>130</v>
      </c>
    </row>
    <row r="169" customFormat="false" ht="18" hidden="false" customHeight="true" outlineLevel="0" collapsed="false">
      <c r="A169" s="45" t="s">
        <v>2203</v>
      </c>
      <c r="B169" s="46" t="s">
        <v>121</v>
      </c>
      <c r="C169" s="46" t="s">
        <v>2204</v>
      </c>
      <c r="D169" s="46" t="s">
        <v>2205</v>
      </c>
      <c r="E169" s="46" t="s">
        <v>2206</v>
      </c>
      <c r="F169" s="46" t="s">
        <v>2207</v>
      </c>
      <c r="G169" s="46" t="s">
        <v>1577</v>
      </c>
      <c r="H169" s="46" t="s">
        <v>79</v>
      </c>
      <c r="I169" s="46" t="s">
        <v>2208</v>
      </c>
      <c r="J169" s="46" t="s">
        <v>2209</v>
      </c>
      <c r="K169" s="46" t="s">
        <v>1224</v>
      </c>
      <c r="L169" s="46" t="s">
        <v>2210</v>
      </c>
      <c r="M169" s="46" t="s">
        <v>130</v>
      </c>
    </row>
    <row r="170" customFormat="false" ht="18" hidden="false" customHeight="true" outlineLevel="0" collapsed="false">
      <c r="A170" s="45" t="s">
        <v>369</v>
      </c>
      <c r="B170" s="46" t="s">
        <v>121</v>
      </c>
      <c r="C170" s="46" t="s">
        <v>2211</v>
      </c>
      <c r="D170" s="46" t="s">
        <v>2212</v>
      </c>
      <c r="E170" s="46" t="s">
        <v>367</v>
      </c>
      <c r="F170" s="46" t="s">
        <v>2213</v>
      </c>
      <c r="G170" s="46" t="s">
        <v>1172</v>
      </c>
      <c r="H170" s="46" t="s">
        <v>1137</v>
      </c>
      <c r="I170" s="46" t="s">
        <v>2214</v>
      </c>
      <c r="J170" s="46" t="s">
        <v>2215</v>
      </c>
      <c r="K170" s="46" t="s">
        <v>1165</v>
      </c>
      <c r="L170" s="46" t="s">
        <v>2216</v>
      </c>
      <c r="M170" s="46" t="s">
        <v>1851</v>
      </c>
    </row>
    <row r="171" customFormat="false" ht="18" hidden="false" customHeight="true" outlineLevel="0" collapsed="false">
      <c r="A171" s="45" t="s">
        <v>2217</v>
      </c>
      <c r="B171" s="46" t="s">
        <v>121</v>
      </c>
      <c r="C171" s="46" t="s">
        <v>2218</v>
      </c>
      <c r="D171" s="46" t="s">
        <v>1607</v>
      </c>
      <c r="E171" s="46" t="s">
        <v>660</v>
      </c>
      <c r="F171" s="46" t="s">
        <v>2219</v>
      </c>
      <c r="G171" s="46" t="s">
        <v>1172</v>
      </c>
      <c r="H171" s="46" t="s">
        <v>79</v>
      </c>
      <c r="I171" s="46" t="s">
        <v>2220</v>
      </c>
      <c r="J171" s="46" t="s">
        <v>2221</v>
      </c>
      <c r="K171" s="46" t="s">
        <v>1140</v>
      </c>
      <c r="L171" s="46" t="s">
        <v>2222</v>
      </c>
      <c r="M171" s="46"/>
    </row>
    <row r="172" customFormat="false" ht="18" hidden="false" customHeight="true" outlineLevel="0" collapsed="false">
      <c r="A172" s="45" t="s">
        <v>618</v>
      </c>
      <c r="B172" s="46" t="s">
        <v>121</v>
      </c>
      <c r="C172" s="46" t="s">
        <v>2223</v>
      </c>
      <c r="D172" s="46" t="s">
        <v>2224</v>
      </c>
      <c r="E172" s="46"/>
      <c r="F172" s="46" t="s">
        <v>2225</v>
      </c>
      <c r="G172" s="46" t="s">
        <v>1863</v>
      </c>
      <c r="H172" s="46"/>
      <c r="I172" s="46" t="s">
        <v>2226</v>
      </c>
      <c r="J172" s="46" t="s">
        <v>2227</v>
      </c>
      <c r="K172" s="46" t="s">
        <v>1849</v>
      </c>
      <c r="L172" s="46" t="s">
        <v>2228</v>
      </c>
      <c r="M172" s="46" t="s">
        <v>2034</v>
      </c>
    </row>
    <row r="173" customFormat="false" ht="18" hidden="false" customHeight="true" outlineLevel="0" collapsed="false">
      <c r="A173" s="45" t="s">
        <v>290</v>
      </c>
      <c r="B173" s="46" t="s">
        <v>121</v>
      </c>
      <c r="C173" s="46" t="s">
        <v>2229</v>
      </c>
      <c r="D173" s="46" t="s">
        <v>2230</v>
      </c>
      <c r="E173" s="46"/>
      <c r="F173" s="46" t="s">
        <v>2231</v>
      </c>
      <c r="G173" s="46" t="s">
        <v>1337</v>
      </c>
      <c r="H173" s="46"/>
      <c r="I173" s="46" t="s">
        <v>2232</v>
      </c>
      <c r="J173" s="46" t="s">
        <v>2233</v>
      </c>
      <c r="K173" s="46" t="s">
        <v>1272</v>
      </c>
      <c r="L173" s="46" t="s">
        <v>2234</v>
      </c>
      <c r="M173" s="46" t="s">
        <v>1851</v>
      </c>
    </row>
    <row r="174" customFormat="false" ht="18" hidden="false" customHeight="true" outlineLevel="0" collapsed="false">
      <c r="A174" s="45" t="s">
        <v>2235</v>
      </c>
      <c r="B174" s="46" t="s">
        <v>121</v>
      </c>
      <c r="C174" s="46" t="s">
        <v>2236</v>
      </c>
      <c r="D174" s="46" t="s">
        <v>1711</v>
      </c>
      <c r="E174" s="46" t="s">
        <v>1074</v>
      </c>
      <c r="F174" s="46" t="s">
        <v>2237</v>
      </c>
      <c r="G174" s="46" t="s">
        <v>1201</v>
      </c>
      <c r="H174" s="46"/>
      <c r="I174" s="46" t="s">
        <v>2013</v>
      </c>
      <c r="J174" s="46" t="s">
        <v>2238</v>
      </c>
      <c r="K174" s="46" t="s">
        <v>1140</v>
      </c>
      <c r="L174" s="46" t="s">
        <v>2239</v>
      </c>
      <c r="M174" s="46" t="s">
        <v>1836</v>
      </c>
    </row>
    <row r="175" customFormat="false" ht="18" hidden="false" customHeight="true" outlineLevel="0" collapsed="false">
      <c r="A175" s="45" t="s">
        <v>2240</v>
      </c>
      <c r="B175" s="46" t="s">
        <v>121</v>
      </c>
      <c r="C175" s="46" t="s">
        <v>2241</v>
      </c>
      <c r="D175" s="46" t="s">
        <v>1637</v>
      </c>
      <c r="E175" s="46" t="s">
        <v>926</v>
      </c>
      <c r="F175" s="46" t="s">
        <v>2242</v>
      </c>
      <c r="G175" s="46" t="s">
        <v>170</v>
      </c>
      <c r="H175" s="46" t="s">
        <v>2243</v>
      </c>
      <c r="I175" s="46" t="s">
        <v>2244</v>
      </c>
      <c r="J175" s="46" t="s">
        <v>2245</v>
      </c>
      <c r="K175" s="46" t="s">
        <v>1381</v>
      </c>
      <c r="L175" s="46" t="s">
        <v>2246</v>
      </c>
      <c r="M175" s="46" t="s">
        <v>1836</v>
      </c>
    </row>
    <row r="176" customFormat="false" ht="18" hidden="false" customHeight="true" outlineLevel="0" collapsed="false">
      <c r="A176" s="45" t="s">
        <v>867</v>
      </c>
      <c r="B176" s="46" t="s">
        <v>121</v>
      </c>
      <c r="C176" s="46" t="s">
        <v>2247</v>
      </c>
      <c r="D176" s="46" t="s">
        <v>2248</v>
      </c>
      <c r="E176" s="46" t="s">
        <v>865</v>
      </c>
      <c r="F176" s="46" t="s">
        <v>2249</v>
      </c>
      <c r="G176" s="46" t="s">
        <v>1577</v>
      </c>
      <c r="H176" s="46" t="s">
        <v>79</v>
      </c>
      <c r="I176" s="46" t="s">
        <v>2250</v>
      </c>
      <c r="J176" s="46" t="s">
        <v>2251</v>
      </c>
      <c r="K176" s="46" t="s">
        <v>1272</v>
      </c>
      <c r="L176" s="46" t="s">
        <v>2252</v>
      </c>
      <c r="M176" s="46" t="s">
        <v>2034</v>
      </c>
    </row>
    <row r="177" customFormat="false" ht="18" hidden="false" customHeight="true" outlineLevel="0" collapsed="false">
      <c r="A177" s="45" t="s">
        <v>2253</v>
      </c>
      <c r="B177" s="46" t="s">
        <v>121</v>
      </c>
      <c r="C177" s="46" t="s">
        <v>2254</v>
      </c>
      <c r="D177" s="46" t="s">
        <v>2255</v>
      </c>
      <c r="E177" s="46" t="s">
        <v>648</v>
      </c>
      <c r="F177" s="46" t="s">
        <v>2256</v>
      </c>
      <c r="G177" s="46" t="s">
        <v>163</v>
      </c>
      <c r="H177" s="46" t="s">
        <v>79</v>
      </c>
      <c r="I177" s="46" t="s">
        <v>2257</v>
      </c>
      <c r="J177" s="46" t="s">
        <v>2258</v>
      </c>
      <c r="K177" s="46" t="s">
        <v>1900</v>
      </c>
      <c r="L177" s="46" t="s">
        <v>2259</v>
      </c>
      <c r="M177" s="46" t="s">
        <v>151</v>
      </c>
    </row>
    <row r="178" customFormat="false" ht="18" hidden="false" customHeight="true" outlineLevel="0" collapsed="false">
      <c r="A178" s="45" t="s">
        <v>786</v>
      </c>
      <c r="B178" s="46" t="s">
        <v>121</v>
      </c>
      <c r="C178" s="46" t="s">
        <v>2260</v>
      </c>
      <c r="D178" s="46" t="s">
        <v>2261</v>
      </c>
      <c r="E178" s="46" t="s">
        <v>2262</v>
      </c>
      <c r="F178" s="46" t="s">
        <v>2263</v>
      </c>
      <c r="G178" s="46" t="s">
        <v>1824</v>
      </c>
      <c r="H178" s="46" t="s">
        <v>79</v>
      </c>
      <c r="I178" s="46" t="s">
        <v>2264</v>
      </c>
      <c r="J178" s="46" t="s">
        <v>2265</v>
      </c>
      <c r="K178" s="46" t="s">
        <v>2266</v>
      </c>
      <c r="L178" s="46" t="s">
        <v>2267</v>
      </c>
      <c r="M178" s="46" t="s">
        <v>2034</v>
      </c>
    </row>
    <row r="179" customFormat="false" ht="18" hidden="false" customHeight="true" outlineLevel="0" collapsed="false">
      <c r="A179" s="45" t="s">
        <v>998</v>
      </c>
      <c r="B179" s="46" t="s">
        <v>121</v>
      </c>
      <c r="C179" s="46" t="s">
        <v>2268</v>
      </c>
      <c r="D179" s="46" t="s">
        <v>2269</v>
      </c>
      <c r="E179" s="46" t="s">
        <v>996</v>
      </c>
      <c r="F179" s="46" t="s">
        <v>2270</v>
      </c>
      <c r="G179" s="46" t="s">
        <v>128</v>
      </c>
      <c r="H179" s="46" t="s">
        <v>1173</v>
      </c>
      <c r="I179" s="46" t="s">
        <v>2271</v>
      </c>
      <c r="J179" s="46" t="s">
        <v>2271</v>
      </c>
      <c r="K179" s="46" t="s">
        <v>1140</v>
      </c>
      <c r="L179" s="46" t="s">
        <v>2272</v>
      </c>
      <c r="M179" s="46" t="s">
        <v>1836</v>
      </c>
    </row>
    <row r="180" customFormat="false" ht="18" hidden="false" customHeight="true" outlineLevel="0" collapsed="false">
      <c r="A180" s="45" t="s">
        <v>2273</v>
      </c>
      <c r="B180" s="46" t="s">
        <v>121</v>
      </c>
      <c r="C180" s="46" t="s">
        <v>2274</v>
      </c>
      <c r="D180" s="46" t="s">
        <v>2275</v>
      </c>
      <c r="E180" s="46" t="s">
        <v>757</v>
      </c>
      <c r="F180" s="46" t="s">
        <v>2276</v>
      </c>
      <c r="G180" s="46" t="s">
        <v>128</v>
      </c>
      <c r="H180" s="46" t="s">
        <v>79</v>
      </c>
      <c r="I180" s="46" t="s">
        <v>2277</v>
      </c>
      <c r="J180" s="46" t="s">
        <v>2278</v>
      </c>
      <c r="K180" s="46" t="s">
        <v>1130</v>
      </c>
      <c r="L180" s="46" t="s">
        <v>2279</v>
      </c>
      <c r="M180" s="46" t="s">
        <v>1851</v>
      </c>
    </row>
    <row r="181" customFormat="false" ht="18" hidden="false" customHeight="true" outlineLevel="0" collapsed="false">
      <c r="A181" s="45" t="s">
        <v>2280</v>
      </c>
      <c r="B181" s="46" t="s">
        <v>121</v>
      </c>
      <c r="C181" s="46" t="s">
        <v>2281</v>
      </c>
      <c r="D181" s="46" t="s">
        <v>2282</v>
      </c>
      <c r="E181" s="46" t="s">
        <v>194</v>
      </c>
      <c r="F181" s="46" t="s">
        <v>2283</v>
      </c>
      <c r="G181" s="46" t="s">
        <v>128</v>
      </c>
      <c r="H181" s="46" t="s">
        <v>1162</v>
      </c>
      <c r="I181" s="46" t="s">
        <v>2284</v>
      </c>
      <c r="J181" s="46" t="s">
        <v>2285</v>
      </c>
      <c r="K181" s="46" t="s">
        <v>2286</v>
      </c>
      <c r="L181" s="46" t="s">
        <v>2287</v>
      </c>
      <c r="M181" s="46" t="s">
        <v>1836</v>
      </c>
    </row>
    <row r="182" customFormat="false" ht="18" hidden="false" customHeight="true" outlineLevel="0" collapsed="false">
      <c r="A182" s="45" t="s">
        <v>1025</v>
      </c>
      <c r="B182" s="46" t="s">
        <v>121</v>
      </c>
      <c r="C182" s="46" t="s">
        <v>2288</v>
      </c>
      <c r="D182" s="46" t="s">
        <v>2289</v>
      </c>
      <c r="E182" s="46" t="s">
        <v>2290</v>
      </c>
      <c r="F182" s="46" t="s">
        <v>2291</v>
      </c>
      <c r="G182" s="46" t="s">
        <v>150</v>
      </c>
      <c r="H182" s="46" t="s">
        <v>80</v>
      </c>
      <c r="I182" s="46" t="s">
        <v>2292</v>
      </c>
      <c r="J182" s="46" t="s">
        <v>2293</v>
      </c>
      <c r="K182" s="46" t="s">
        <v>1130</v>
      </c>
      <c r="L182" s="46" t="s">
        <v>2294</v>
      </c>
      <c r="M182" s="46" t="s">
        <v>151</v>
      </c>
    </row>
    <row r="183" customFormat="false" ht="18" hidden="false" customHeight="true" outlineLevel="0" collapsed="false">
      <c r="A183" s="45" t="s">
        <v>2295</v>
      </c>
      <c r="B183" s="46" t="s">
        <v>121</v>
      </c>
      <c r="C183" s="46" t="s">
        <v>2296</v>
      </c>
      <c r="D183" s="46" t="s">
        <v>2297</v>
      </c>
      <c r="E183" s="46" t="s">
        <v>194</v>
      </c>
      <c r="F183" s="46" t="s">
        <v>2298</v>
      </c>
      <c r="G183" s="46" t="s">
        <v>128</v>
      </c>
      <c r="H183" s="46" t="s">
        <v>1243</v>
      </c>
      <c r="I183" s="46" t="s">
        <v>2284</v>
      </c>
      <c r="J183" s="46" t="s">
        <v>2299</v>
      </c>
      <c r="K183" s="46" t="s">
        <v>2266</v>
      </c>
      <c r="L183" s="46" t="s">
        <v>2300</v>
      </c>
      <c r="M183" s="46" t="s">
        <v>1851</v>
      </c>
    </row>
    <row r="184" customFormat="false" ht="18" hidden="false" customHeight="true" outlineLevel="0" collapsed="false">
      <c r="A184" s="45" t="s">
        <v>2301</v>
      </c>
      <c r="B184" s="46" t="s">
        <v>121</v>
      </c>
      <c r="C184" s="46" t="s">
        <v>2302</v>
      </c>
      <c r="D184" s="46" t="s">
        <v>1214</v>
      </c>
      <c r="E184" s="46" t="s">
        <v>2303</v>
      </c>
      <c r="F184" s="46" t="s">
        <v>2304</v>
      </c>
      <c r="G184" s="46" t="s">
        <v>120</v>
      </c>
      <c r="H184" s="46" t="s">
        <v>80</v>
      </c>
      <c r="I184" s="46" t="s">
        <v>2305</v>
      </c>
      <c r="J184" s="46" t="s">
        <v>2306</v>
      </c>
      <c r="K184" s="46" t="s">
        <v>1900</v>
      </c>
      <c r="L184" s="46" t="s">
        <v>2307</v>
      </c>
      <c r="M184" s="46" t="s">
        <v>1851</v>
      </c>
    </row>
    <row r="185" customFormat="false" ht="18" hidden="false" customHeight="true" outlineLevel="0" collapsed="false">
      <c r="A185" s="45" t="s">
        <v>218</v>
      </c>
      <c r="B185" s="46" t="s">
        <v>121</v>
      </c>
      <c r="C185" s="46" t="s">
        <v>2308</v>
      </c>
      <c r="D185" s="46" t="s">
        <v>2309</v>
      </c>
      <c r="E185" s="46" t="s">
        <v>215</v>
      </c>
      <c r="F185" s="46" t="s">
        <v>2310</v>
      </c>
      <c r="G185" s="46" t="s">
        <v>217</v>
      </c>
      <c r="H185" s="46" t="s">
        <v>79</v>
      </c>
      <c r="I185" s="46" t="s">
        <v>2311</v>
      </c>
      <c r="J185" s="46" t="s">
        <v>2312</v>
      </c>
      <c r="K185" s="46" t="s">
        <v>1900</v>
      </c>
      <c r="L185" s="46" t="s">
        <v>2313</v>
      </c>
      <c r="M185" s="46" t="s">
        <v>2034</v>
      </c>
    </row>
    <row r="186" customFormat="false" ht="18" hidden="false" customHeight="true" outlineLevel="0" collapsed="false">
      <c r="A186" s="45" t="s">
        <v>2314</v>
      </c>
      <c r="B186" s="46" t="s">
        <v>121</v>
      </c>
      <c r="C186" s="46" t="s">
        <v>2315</v>
      </c>
      <c r="D186" s="46" t="s">
        <v>1737</v>
      </c>
      <c r="E186" s="46" t="s">
        <v>2316</v>
      </c>
      <c r="F186" s="46" t="s">
        <v>2317</v>
      </c>
      <c r="G186" s="46" t="s">
        <v>1537</v>
      </c>
      <c r="H186" s="46" t="s">
        <v>80</v>
      </c>
      <c r="I186" s="46" t="s">
        <v>2318</v>
      </c>
      <c r="J186" s="46" t="s">
        <v>2319</v>
      </c>
      <c r="K186" s="46" t="s">
        <v>1224</v>
      </c>
      <c r="L186" s="46" t="s">
        <v>2320</v>
      </c>
      <c r="M186" s="46" t="s">
        <v>130</v>
      </c>
    </row>
    <row r="187" customFormat="false" ht="18" hidden="false" customHeight="true" outlineLevel="0" collapsed="false">
      <c r="A187" s="45" t="s">
        <v>2321</v>
      </c>
      <c r="B187" s="46" t="s">
        <v>121</v>
      </c>
      <c r="C187" s="46" t="s">
        <v>2322</v>
      </c>
      <c r="D187" s="46" t="s">
        <v>2323</v>
      </c>
      <c r="E187" s="46" t="s">
        <v>2324</v>
      </c>
      <c r="F187" s="46" t="s">
        <v>2325</v>
      </c>
      <c r="G187" s="46" t="s">
        <v>1337</v>
      </c>
      <c r="H187" s="46"/>
      <c r="I187" s="46" t="s">
        <v>2326</v>
      </c>
      <c r="J187" s="46" t="s">
        <v>2327</v>
      </c>
      <c r="K187" s="46" t="s">
        <v>1140</v>
      </c>
      <c r="L187" s="46" t="s">
        <v>2328</v>
      </c>
      <c r="M187" s="46" t="s">
        <v>151</v>
      </c>
    </row>
    <row r="188" customFormat="false" ht="18" hidden="false" customHeight="true" outlineLevel="0" collapsed="false">
      <c r="A188" s="45" t="s">
        <v>2329</v>
      </c>
      <c r="B188" s="46" t="s">
        <v>121</v>
      </c>
      <c r="C188" s="46" t="s">
        <v>2330</v>
      </c>
      <c r="D188" s="46" t="s">
        <v>2331</v>
      </c>
      <c r="E188" s="46" t="s">
        <v>1035</v>
      </c>
      <c r="F188" s="46" t="s">
        <v>2332</v>
      </c>
      <c r="G188" s="46" t="s">
        <v>128</v>
      </c>
      <c r="H188" s="46" t="s">
        <v>1173</v>
      </c>
      <c r="I188" s="46" t="s">
        <v>2299</v>
      </c>
      <c r="J188" s="46" t="s">
        <v>2333</v>
      </c>
      <c r="K188" s="46" t="s">
        <v>1140</v>
      </c>
      <c r="L188" s="46" t="s">
        <v>2334</v>
      </c>
      <c r="M188" s="46" t="s">
        <v>151</v>
      </c>
    </row>
    <row r="189" customFormat="false" ht="18" hidden="false" customHeight="true" outlineLevel="0" collapsed="false">
      <c r="A189" s="45" t="s">
        <v>595</v>
      </c>
      <c r="B189" s="46" t="s">
        <v>121</v>
      </c>
      <c r="C189" s="46" t="s">
        <v>2335</v>
      </c>
      <c r="D189" s="46" t="s">
        <v>2336</v>
      </c>
      <c r="E189" s="46" t="s">
        <v>593</v>
      </c>
      <c r="F189" s="46" t="s">
        <v>2337</v>
      </c>
      <c r="G189" s="46" t="s">
        <v>1179</v>
      </c>
      <c r="H189" s="46"/>
      <c r="I189" s="46" t="s">
        <v>2338</v>
      </c>
      <c r="J189" s="46" t="s">
        <v>2339</v>
      </c>
      <c r="K189" s="46" t="s">
        <v>1130</v>
      </c>
      <c r="L189" s="46" t="s">
        <v>2340</v>
      </c>
      <c r="M189" s="46" t="s">
        <v>1836</v>
      </c>
    </row>
    <row r="190" customFormat="false" ht="18" hidden="false" customHeight="true" outlineLevel="0" collapsed="false">
      <c r="A190" s="45" t="s">
        <v>720</v>
      </c>
      <c r="B190" s="46" t="s">
        <v>121</v>
      </c>
      <c r="C190" s="46" t="s">
        <v>2341</v>
      </c>
      <c r="D190" s="46" t="s">
        <v>2342</v>
      </c>
      <c r="E190" s="46" t="s">
        <v>718</v>
      </c>
      <c r="F190" s="46" t="s">
        <v>2343</v>
      </c>
      <c r="G190" s="46" t="s">
        <v>1179</v>
      </c>
      <c r="H190" s="46" t="s">
        <v>80</v>
      </c>
      <c r="I190" s="46" t="s">
        <v>2344</v>
      </c>
      <c r="J190" s="46" t="s">
        <v>2345</v>
      </c>
      <c r="K190" s="46" t="s">
        <v>1108</v>
      </c>
      <c r="L190" s="46" t="s">
        <v>2346</v>
      </c>
      <c r="M190" s="46" t="s">
        <v>130</v>
      </c>
    </row>
    <row r="191" customFormat="false" ht="18" hidden="false" customHeight="true" outlineLevel="0" collapsed="false">
      <c r="A191" s="45" t="s">
        <v>2347</v>
      </c>
      <c r="B191" s="46" t="s">
        <v>121</v>
      </c>
      <c r="C191" s="46" t="s">
        <v>2348</v>
      </c>
      <c r="D191" s="46" t="s">
        <v>2349</v>
      </c>
      <c r="E191" s="46" t="s">
        <v>2350</v>
      </c>
      <c r="F191" s="46" t="s">
        <v>2351</v>
      </c>
      <c r="G191" s="46" t="s">
        <v>1179</v>
      </c>
      <c r="H191" s="46" t="s">
        <v>80</v>
      </c>
      <c r="I191" s="46" t="s">
        <v>2352</v>
      </c>
      <c r="J191" s="46" t="s">
        <v>2353</v>
      </c>
      <c r="K191" s="46" t="s">
        <v>1130</v>
      </c>
      <c r="L191" s="46" t="s">
        <v>2354</v>
      </c>
      <c r="M191" s="46"/>
    </row>
    <row r="192" customFormat="false" ht="18" hidden="false" customHeight="true" outlineLevel="0" collapsed="false">
      <c r="A192" s="45" t="s">
        <v>2355</v>
      </c>
      <c r="B192" s="46" t="s">
        <v>121</v>
      </c>
      <c r="C192" s="46" t="s">
        <v>2356</v>
      </c>
      <c r="D192" s="46" t="s">
        <v>2357</v>
      </c>
      <c r="E192" s="46" t="s">
        <v>916</v>
      </c>
      <c r="F192" s="46" t="s">
        <v>2358</v>
      </c>
      <c r="G192" s="46" t="s">
        <v>170</v>
      </c>
      <c r="H192" s="46" t="s">
        <v>2243</v>
      </c>
      <c r="I192" s="46" t="s">
        <v>2359</v>
      </c>
      <c r="J192" s="46" t="s">
        <v>2360</v>
      </c>
      <c r="K192" s="46" t="s">
        <v>1900</v>
      </c>
      <c r="L192" s="46" t="s">
        <v>2361</v>
      </c>
      <c r="M192" s="46" t="s">
        <v>2034</v>
      </c>
    </row>
    <row r="193" customFormat="false" ht="18" hidden="false" customHeight="true" outlineLevel="0" collapsed="false">
      <c r="A193" s="45" t="s">
        <v>2362</v>
      </c>
      <c r="B193" s="46" t="s">
        <v>164</v>
      </c>
      <c r="C193" s="46" t="s">
        <v>2363</v>
      </c>
      <c r="D193" s="46" t="s">
        <v>2364</v>
      </c>
      <c r="E193" s="46" t="s">
        <v>2365</v>
      </c>
      <c r="F193" s="46" t="s">
        <v>2366</v>
      </c>
      <c r="G193" s="46" t="s">
        <v>2157</v>
      </c>
      <c r="H193" s="46" t="s">
        <v>80</v>
      </c>
      <c r="I193" s="46" t="s">
        <v>2367</v>
      </c>
      <c r="J193" s="46" t="s">
        <v>2368</v>
      </c>
      <c r="K193" s="46" t="s">
        <v>1130</v>
      </c>
      <c r="L193" s="46" t="s">
        <v>2369</v>
      </c>
      <c r="M193" s="46" t="s">
        <v>1140</v>
      </c>
    </row>
    <row r="194" customFormat="false" ht="18" hidden="false" customHeight="true" outlineLevel="0" collapsed="false">
      <c r="A194" s="45" t="s">
        <v>859</v>
      </c>
      <c r="B194" s="46" t="s">
        <v>164</v>
      </c>
      <c r="C194" s="46" t="s">
        <v>2370</v>
      </c>
      <c r="D194" s="46" t="s">
        <v>2371</v>
      </c>
      <c r="E194" s="46" t="s">
        <v>2372</v>
      </c>
      <c r="F194" s="46" t="s">
        <v>2373</v>
      </c>
      <c r="G194" s="46" t="s">
        <v>120</v>
      </c>
      <c r="H194" s="46" t="s">
        <v>80</v>
      </c>
      <c r="I194" s="46" t="s">
        <v>2374</v>
      </c>
      <c r="J194" s="46" t="s">
        <v>2375</v>
      </c>
      <c r="K194" s="46" t="s">
        <v>1513</v>
      </c>
      <c r="L194" s="46" t="s">
        <v>2376</v>
      </c>
      <c r="M194" s="46" t="s">
        <v>1851</v>
      </c>
    </row>
    <row r="195" customFormat="false" ht="18" hidden="false" customHeight="true" outlineLevel="0" collapsed="false">
      <c r="A195" s="45" t="s">
        <v>2377</v>
      </c>
      <c r="B195" s="46" t="s">
        <v>164</v>
      </c>
      <c r="C195" s="46" t="s">
        <v>2378</v>
      </c>
      <c r="D195" s="46" t="s">
        <v>1651</v>
      </c>
      <c r="E195" s="46" t="s">
        <v>809</v>
      </c>
      <c r="F195" s="46" t="s">
        <v>2379</v>
      </c>
      <c r="G195" s="46" t="s">
        <v>1365</v>
      </c>
      <c r="H195" s="46" t="s">
        <v>82</v>
      </c>
      <c r="I195" s="46" t="s">
        <v>2380</v>
      </c>
      <c r="J195" s="46" t="s">
        <v>2381</v>
      </c>
      <c r="K195" s="46" t="s">
        <v>1546</v>
      </c>
      <c r="L195" s="46" t="s">
        <v>2382</v>
      </c>
      <c r="M195" s="46" t="s">
        <v>1851</v>
      </c>
    </row>
    <row r="196" customFormat="false" ht="18" hidden="false" customHeight="true" outlineLevel="0" collapsed="false">
      <c r="A196" s="45" t="s">
        <v>957</v>
      </c>
      <c r="B196" s="46" t="s">
        <v>164</v>
      </c>
      <c r="C196" s="46" t="s">
        <v>2383</v>
      </c>
      <c r="D196" s="46" t="s">
        <v>2384</v>
      </c>
      <c r="E196" s="46" t="s">
        <v>955</v>
      </c>
      <c r="F196" s="46" t="s">
        <v>2385</v>
      </c>
      <c r="G196" s="46" t="s">
        <v>120</v>
      </c>
      <c r="H196" s="46" t="s">
        <v>80</v>
      </c>
      <c r="I196" s="46" t="s">
        <v>2386</v>
      </c>
      <c r="J196" s="46" t="s">
        <v>2387</v>
      </c>
      <c r="K196" s="46" t="s">
        <v>1678</v>
      </c>
      <c r="L196" s="46" t="s">
        <v>2388</v>
      </c>
      <c r="M196" s="46" t="s">
        <v>1140</v>
      </c>
    </row>
    <row r="197" customFormat="false" ht="18" hidden="false" customHeight="true" outlineLevel="0" collapsed="false">
      <c r="A197" s="45" t="s">
        <v>1072</v>
      </c>
      <c r="B197" s="46" t="s">
        <v>164</v>
      </c>
      <c r="C197" s="46" t="s">
        <v>2389</v>
      </c>
      <c r="D197" s="46" t="s">
        <v>2390</v>
      </c>
      <c r="E197" s="46" t="s">
        <v>1070</v>
      </c>
      <c r="F197" s="46" t="s">
        <v>2391</v>
      </c>
      <c r="G197" s="46" t="s">
        <v>170</v>
      </c>
      <c r="H197" s="46" t="s">
        <v>2392</v>
      </c>
      <c r="I197" s="46" t="s">
        <v>2393</v>
      </c>
      <c r="J197" s="46" t="s">
        <v>2393</v>
      </c>
      <c r="K197" s="46" t="s">
        <v>1130</v>
      </c>
      <c r="L197" s="46" t="s">
        <v>2394</v>
      </c>
      <c r="M197" s="46" t="s">
        <v>2395</v>
      </c>
    </row>
    <row r="198" customFormat="false" ht="18" hidden="false" customHeight="true" outlineLevel="0" collapsed="false">
      <c r="A198" s="45" t="s">
        <v>418</v>
      </c>
      <c r="B198" s="46" t="s">
        <v>164</v>
      </c>
      <c r="C198" s="46" t="s">
        <v>2396</v>
      </c>
      <c r="D198" s="46" t="s">
        <v>2397</v>
      </c>
      <c r="E198" s="46" t="s">
        <v>416</v>
      </c>
      <c r="F198" s="46" t="s">
        <v>2398</v>
      </c>
      <c r="G198" s="46" t="s">
        <v>2399</v>
      </c>
      <c r="H198" s="46" t="s">
        <v>1330</v>
      </c>
      <c r="I198" s="46" t="s">
        <v>2400</v>
      </c>
      <c r="J198" s="46" t="s">
        <v>2400</v>
      </c>
      <c r="K198" s="46" t="s">
        <v>1140</v>
      </c>
      <c r="L198" s="46" t="s">
        <v>2401</v>
      </c>
      <c r="M198" s="46" t="s">
        <v>2034</v>
      </c>
    </row>
    <row r="199" customFormat="false" ht="18" hidden="false" customHeight="true" outlineLevel="0" collapsed="false">
      <c r="A199" s="45" t="s">
        <v>2402</v>
      </c>
      <c r="B199" s="46" t="s">
        <v>164</v>
      </c>
      <c r="C199" s="46" t="s">
        <v>2403</v>
      </c>
      <c r="D199" s="46" t="s">
        <v>1348</v>
      </c>
      <c r="E199" s="46" t="s">
        <v>934</v>
      </c>
      <c r="F199" s="46"/>
      <c r="G199" s="46" t="s">
        <v>1172</v>
      </c>
      <c r="H199" s="46" t="s">
        <v>79</v>
      </c>
      <c r="I199" s="46" t="s">
        <v>2404</v>
      </c>
      <c r="J199" s="46" t="s">
        <v>2405</v>
      </c>
      <c r="K199" s="46" t="s">
        <v>1130</v>
      </c>
      <c r="L199" s="46" t="s">
        <v>2406</v>
      </c>
      <c r="M199" s="46" t="s">
        <v>1140</v>
      </c>
    </row>
    <row r="200" customFormat="false" ht="18" hidden="false" customHeight="true" outlineLevel="0" collapsed="false">
      <c r="A200" s="45" t="s">
        <v>2407</v>
      </c>
      <c r="B200" s="46" t="s">
        <v>164</v>
      </c>
      <c r="C200" s="46" t="s">
        <v>2408</v>
      </c>
      <c r="D200" s="46" t="s">
        <v>2409</v>
      </c>
      <c r="E200" s="46" t="s">
        <v>1035</v>
      </c>
      <c r="F200" s="46" t="s">
        <v>2410</v>
      </c>
      <c r="G200" s="46" t="s">
        <v>1201</v>
      </c>
      <c r="H200" s="46" t="s">
        <v>79</v>
      </c>
      <c r="I200" s="46" t="s">
        <v>2411</v>
      </c>
      <c r="J200" s="46" t="s">
        <v>2412</v>
      </c>
      <c r="K200" s="46" t="s">
        <v>1130</v>
      </c>
      <c r="L200" s="46" t="s">
        <v>2413</v>
      </c>
      <c r="M200" s="46" t="s">
        <v>1140</v>
      </c>
    </row>
    <row r="201" customFormat="false" ht="18" hidden="false" customHeight="true" outlineLevel="0" collapsed="false">
      <c r="A201" s="45" t="s">
        <v>413</v>
      </c>
      <c r="B201" s="46" t="s">
        <v>164</v>
      </c>
      <c r="C201" s="46" t="s">
        <v>2414</v>
      </c>
      <c r="D201" s="46" t="s">
        <v>2415</v>
      </c>
      <c r="E201" s="46"/>
      <c r="F201" s="46" t="s">
        <v>2416</v>
      </c>
      <c r="G201" s="46" t="s">
        <v>163</v>
      </c>
      <c r="H201" s="46" t="s">
        <v>79</v>
      </c>
      <c r="I201" s="46" t="s">
        <v>2417</v>
      </c>
      <c r="J201" s="46" t="s">
        <v>2418</v>
      </c>
      <c r="K201" s="46" t="s">
        <v>1513</v>
      </c>
      <c r="L201" s="46" t="s">
        <v>2419</v>
      </c>
      <c r="M201" s="46" t="s">
        <v>1140</v>
      </c>
    </row>
    <row r="202" customFormat="false" ht="18" hidden="false" customHeight="true" outlineLevel="0" collapsed="false">
      <c r="A202" s="45" t="s">
        <v>2420</v>
      </c>
      <c r="B202" s="46" t="s">
        <v>164</v>
      </c>
      <c r="C202" s="46" t="s">
        <v>2421</v>
      </c>
      <c r="D202" s="46" t="s">
        <v>1135</v>
      </c>
      <c r="E202" s="46"/>
      <c r="F202" s="46"/>
      <c r="G202" s="46" t="s">
        <v>1194</v>
      </c>
      <c r="H202" s="46" t="s">
        <v>1243</v>
      </c>
      <c r="I202" s="46" t="s">
        <v>2422</v>
      </c>
      <c r="J202" s="46" t="s">
        <v>2423</v>
      </c>
      <c r="K202" s="46" t="s">
        <v>1272</v>
      </c>
      <c r="L202" s="46" t="s">
        <v>2424</v>
      </c>
      <c r="M202" s="46" t="s">
        <v>1851</v>
      </c>
    </row>
    <row r="203" customFormat="false" ht="18" hidden="false" customHeight="true" outlineLevel="0" collapsed="false">
      <c r="A203" s="45" t="s">
        <v>734</v>
      </c>
      <c r="B203" s="46" t="s">
        <v>164</v>
      </c>
      <c r="C203" s="46" t="s">
        <v>2425</v>
      </c>
      <c r="D203" s="46" t="s">
        <v>2426</v>
      </c>
      <c r="E203" s="46" t="s">
        <v>2427</v>
      </c>
      <c r="F203" s="46" t="s">
        <v>2428</v>
      </c>
      <c r="G203" s="46" t="s">
        <v>163</v>
      </c>
      <c r="H203" s="46" t="s">
        <v>79</v>
      </c>
      <c r="I203" s="46" t="s">
        <v>2429</v>
      </c>
      <c r="J203" s="46" t="s">
        <v>2430</v>
      </c>
      <c r="K203" s="46" t="s">
        <v>1108</v>
      </c>
      <c r="L203" s="46" t="s">
        <v>2431</v>
      </c>
      <c r="M203" s="46" t="s">
        <v>2034</v>
      </c>
    </row>
    <row r="204" customFormat="false" ht="18" hidden="false" customHeight="true" outlineLevel="0" collapsed="false">
      <c r="A204" s="45" t="s">
        <v>410</v>
      </c>
      <c r="B204" s="46" t="s">
        <v>164</v>
      </c>
      <c r="C204" s="46" t="s">
        <v>2432</v>
      </c>
      <c r="D204" s="46" t="s">
        <v>2433</v>
      </c>
      <c r="E204" s="46" t="s">
        <v>408</v>
      </c>
      <c r="F204" s="46" t="s">
        <v>2434</v>
      </c>
      <c r="G204" s="46" t="s">
        <v>1194</v>
      </c>
      <c r="H204" s="46" t="s">
        <v>1137</v>
      </c>
      <c r="I204" s="46" t="s">
        <v>2417</v>
      </c>
      <c r="J204" s="46" t="s">
        <v>2435</v>
      </c>
      <c r="K204" s="46" t="s">
        <v>1130</v>
      </c>
      <c r="L204" s="46" t="s">
        <v>2436</v>
      </c>
      <c r="M204" s="46" t="s">
        <v>2034</v>
      </c>
    </row>
    <row r="205" customFormat="false" ht="18" hidden="false" customHeight="true" outlineLevel="0" collapsed="false">
      <c r="A205" s="45" t="s">
        <v>352</v>
      </c>
      <c r="B205" s="46" t="s">
        <v>164</v>
      </c>
      <c r="C205" s="46" t="s">
        <v>2437</v>
      </c>
      <c r="D205" s="46" t="s">
        <v>2438</v>
      </c>
      <c r="E205" s="46" t="s">
        <v>350</v>
      </c>
      <c r="F205" s="46" t="s">
        <v>2439</v>
      </c>
      <c r="G205" s="46" t="s">
        <v>1201</v>
      </c>
      <c r="H205" s="46" t="s">
        <v>79</v>
      </c>
      <c r="I205" s="46" t="s">
        <v>2440</v>
      </c>
      <c r="J205" s="46" t="s">
        <v>2441</v>
      </c>
      <c r="K205" s="46" t="s">
        <v>1108</v>
      </c>
      <c r="L205" s="46" t="s">
        <v>2442</v>
      </c>
      <c r="M205" s="46" t="s">
        <v>1140</v>
      </c>
    </row>
    <row r="206" customFormat="false" ht="18" hidden="false" customHeight="true" outlineLevel="0" collapsed="false">
      <c r="A206" s="45" t="s">
        <v>914</v>
      </c>
      <c r="B206" s="46" t="s">
        <v>164</v>
      </c>
      <c r="C206" s="46" t="s">
        <v>2443</v>
      </c>
      <c r="D206" s="46" t="s">
        <v>2444</v>
      </c>
      <c r="E206" s="46" t="s">
        <v>2445</v>
      </c>
      <c r="F206" s="46"/>
      <c r="G206" s="46" t="s">
        <v>170</v>
      </c>
      <c r="H206" s="46" t="s">
        <v>82</v>
      </c>
      <c r="I206" s="46" t="s">
        <v>2446</v>
      </c>
      <c r="J206" s="46" t="s">
        <v>2447</v>
      </c>
      <c r="K206" s="46" t="s">
        <v>1272</v>
      </c>
      <c r="L206" s="46" t="s">
        <v>2448</v>
      </c>
      <c r="M206" s="46" t="s">
        <v>1851</v>
      </c>
    </row>
    <row r="207" customFormat="false" ht="18" hidden="false" customHeight="true" outlineLevel="0" collapsed="false">
      <c r="A207" s="45" t="s">
        <v>834</v>
      </c>
      <c r="B207" s="46" t="s">
        <v>164</v>
      </c>
      <c r="C207" s="46" t="s">
        <v>2449</v>
      </c>
      <c r="D207" s="46" t="s">
        <v>2450</v>
      </c>
      <c r="E207" s="46" t="s">
        <v>832</v>
      </c>
      <c r="F207" s="46" t="s">
        <v>2451</v>
      </c>
      <c r="G207" s="46" t="s">
        <v>1188</v>
      </c>
      <c r="H207" s="46" t="s">
        <v>1173</v>
      </c>
      <c r="I207" s="46" t="s">
        <v>2452</v>
      </c>
      <c r="J207" s="46" t="s">
        <v>2453</v>
      </c>
      <c r="K207" s="46" t="s">
        <v>1381</v>
      </c>
      <c r="L207" s="46" t="s">
        <v>2454</v>
      </c>
      <c r="M207" s="46" t="s">
        <v>1140</v>
      </c>
    </row>
    <row r="208" customFormat="false" ht="18" hidden="false" customHeight="true" outlineLevel="0" collapsed="false">
      <c r="A208" s="45" t="s">
        <v>1055</v>
      </c>
      <c r="B208" s="46" t="s">
        <v>164</v>
      </c>
      <c r="C208" s="46" t="s">
        <v>2455</v>
      </c>
      <c r="D208" s="46" t="s">
        <v>2456</v>
      </c>
      <c r="E208" s="46" t="s">
        <v>1053</v>
      </c>
      <c r="F208" s="46" t="s">
        <v>2457</v>
      </c>
      <c r="G208" s="46" t="s">
        <v>2399</v>
      </c>
      <c r="H208" s="46" t="s">
        <v>80</v>
      </c>
      <c r="I208" s="46" t="s">
        <v>2458</v>
      </c>
      <c r="J208" s="46" t="s">
        <v>2459</v>
      </c>
      <c r="K208" s="46" t="s">
        <v>1108</v>
      </c>
      <c r="L208" s="46" t="s">
        <v>2460</v>
      </c>
      <c r="M208" s="46" t="s">
        <v>2034</v>
      </c>
    </row>
    <row r="209" customFormat="false" ht="18" hidden="false" customHeight="true" outlineLevel="0" collapsed="false">
      <c r="A209" s="45" t="s">
        <v>438</v>
      </c>
      <c r="B209" s="46" t="s">
        <v>164</v>
      </c>
      <c r="C209" s="46" t="s">
        <v>2461</v>
      </c>
      <c r="D209" s="46" t="s">
        <v>2462</v>
      </c>
      <c r="E209" s="46" t="s">
        <v>436</v>
      </c>
      <c r="F209" s="46" t="s">
        <v>2463</v>
      </c>
      <c r="G209" s="46" t="s">
        <v>128</v>
      </c>
      <c r="H209" s="46" t="s">
        <v>79</v>
      </c>
      <c r="I209" s="46" t="s">
        <v>2464</v>
      </c>
      <c r="J209" s="46" t="s">
        <v>2465</v>
      </c>
      <c r="K209" s="46" t="s">
        <v>1272</v>
      </c>
      <c r="L209" s="46" t="s">
        <v>2466</v>
      </c>
      <c r="M209" s="46" t="s">
        <v>1140</v>
      </c>
    </row>
    <row r="210" customFormat="false" ht="18" hidden="false" customHeight="true" outlineLevel="0" collapsed="false">
      <c r="A210" s="45" t="s">
        <v>698</v>
      </c>
      <c r="B210" s="46" t="s">
        <v>164</v>
      </c>
      <c r="C210" s="46" t="s">
        <v>2467</v>
      </c>
      <c r="D210" s="46" t="s">
        <v>2468</v>
      </c>
      <c r="E210" s="46" t="s">
        <v>2469</v>
      </c>
      <c r="F210" s="46" t="s">
        <v>2470</v>
      </c>
      <c r="G210" s="46" t="s">
        <v>2399</v>
      </c>
      <c r="H210" s="46" t="s">
        <v>1330</v>
      </c>
      <c r="I210" s="46" t="s">
        <v>2471</v>
      </c>
      <c r="J210" s="46" t="s">
        <v>2472</v>
      </c>
      <c r="K210" s="46" t="s">
        <v>1280</v>
      </c>
      <c r="L210" s="46" t="s">
        <v>2473</v>
      </c>
      <c r="M210" s="46" t="s">
        <v>1851</v>
      </c>
    </row>
    <row r="211" customFormat="false" ht="18" hidden="false" customHeight="true" outlineLevel="0" collapsed="false">
      <c r="A211" s="45" t="s">
        <v>889</v>
      </c>
      <c r="B211" s="46" t="s">
        <v>164</v>
      </c>
      <c r="C211" s="46" t="s">
        <v>2474</v>
      </c>
      <c r="D211" s="46" t="s">
        <v>2475</v>
      </c>
      <c r="E211" s="46"/>
      <c r="F211" s="46" t="s">
        <v>2476</v>
      </c>
      <c r="G211" s="46" t="s">
        <v>128</v>
      </c>
      <c r="H211" s="46" t="s">
        <v>79</v>
      </c>
      <c r="I211" s="46" t="s">
        <v>2477</v>
      </c>
      <c r="J211" s="46" t="s">
        <v>2478</v>
      </c>
      <c r="K211" s="46" t="s">
        <v>1381</v>
      </c>
      <c r="L211" s="46" t="s">
        <v>2479</v>
      </c>
      <c r="M211" s="46" t="s">
        <v>1851</v>
      </c>
    </row>
    <row r="212" customFormat="false" ht="18" hidden="false" customHeight="true" outlineLevel="0" collapsed="false">
      <c r="A212" s="45" t="s">
        <v>2480</v>
      </c>
      <c r="B212" s="46" t="s">
        <v>164</v>
      </c>
      <c r="C212" s="46" t="s">
        <v>2481</v>
      </c>
      <c r="D212" s="46" t="s">
        <v>1704</v>
      </c>
      <c r="E212" s="46" t="s">
        <v>2482</v>
      </c>
      <c r="F212" s="46" t="s">
        <v>1705</v>
      </c>
      <c r="G212" s="46" t="s">
        <v>217</v>
      </c>
      <c r="H212" s="46" t="s">
        <v>79</v>
      </c>
      <c r="I212" s="46" t="s">
        <v>2483</v>
      </c>
      <c r="J212" s="46" t="s">
        <v>2484</v>
      </c>
      <c r="K212" s="46" t="s">
        <v>1140</v>
      </c>
      <c r="L212" s="46" t="s">
        <v>2485</v>
      </c>
      <c r="M212" s="46" t="s">
        <v>1851</v>
      </c>
    </row>
    <row r="213" customFormat="false" ht="18" hidden="false" customHeight="true" outlineLevel="0" collapsed="false">
      <c r="A213" s="45" t="s">
        <v>1018</v>
      </c>
      <c r="B213" s="46" t="s">
        <v>164</v>
      </c>
      <c r="C213" s="46" t="s">
        <v>2486</v>
      </c>
      <c r="D213" s="46" t="s">
        <v>2487</v>
      </c>
      <c r="E213" s="46" t="s">
        <v>1016</v>
      </c>
      <c r="F213" s="46" t="s">
        <v>2488</v>
      </c>
      <c r="G213" s="46" t="s">
        <v>120</v>
      </c>
      <c r="H213" s="46" t="s">
        <v>1236</v>
      </c>
      <c r="I213" s="46" t="s">
        <v>2489</v>
      </c>
      <c r="J213" s="46" t="s">
        <v>2412</v>
      </c>
      <c r="K213" s="46" t="s">
        <v>1130</v>
      </c>
      <c r="L213" s="46" t="s">
        <v>2490</v>
      </c>
      <c r="M213" s="46" t="s">
        <v>2395</v>
      </c>
    </row>
    <row r="214" customFormat="false" ht="18" hidden="false" customHeight="true" outlineLevel="0" collapsed="false">
      <c r="A214" s="45" t="s">
        <v>1088</v>
      </c>
      <c r="B214" s="46" t="s">
        <v>164</v>
      </c>
      <c r="C214" s="46" t="s">
        <v>2491</v>
      </c>
      <c r="D214" s="46" t="s">
        <v>2492</v>
      </c>
      <c r="E214" s="46" t="s">
        <v>1086</v>
      </c>
      <c r="F214" s="46" t="s">
        <v>2493</v>
      </c>
      <c r="G214" s="46" t="s">
        <v>170</v>
      </c>
      <c r="H214" s="46" t="s">
        <v>82</v>
      </c>
      <c r="I214" s="46" t="s">
        <v>2494</v>
      </c>
      <c r="J214" s="46" t="s">
        <v>2381</v>
      </c>
      <c r="K214" s="46" t="s">
        <v>1130</v>
      </c>
      <c r="L214" s="46" t="s">
        <v>2495</v>
      </c>
      <c r="M214" s="46" t="s">
        <v>1140</v>
      </c>
    </row>
    <row r="215" customFormat="false" ht="18" hidden="false" customHeight="true" outlineLevel="0" collapsed="false">
      <c r="A215" s="45" t="s">
        <v>428</v>
      </c>
      <c r="B215" s="46" t="s">
        <v>164</v>
      </c>
      <c r="C215" s="46" t="s">
        <v>2496</v>
      </c>
      <c r="D215" s="46" t="s">
        <v>2497</v>
      </c>
      <c r="E215" s="46"/>
      <c r="F215" s="46" t="s">
        <v>2498</v>
      </c>
      <c r="G215" s="46" t="s">
        <v>150</v>
      </c>
      <c r="H215" s="46" t="s">
        <v>1236</v>
      </c>
      <c r="I215" s="46" t="s">
        <v>2499</v>
      </c>
      <c r="J215" s="46" t="s">
        <v>2500</v>
      </c>
      <c r="K215" s="46" t="s">
        <v>1272</v>
      </c>
      <c r="L215" s="46" t="s">
        <v>2501</v>
      </c>
      <c r="M215" s="46" t="s">
        <v>1140</v>
      </c>
    </row>
    <row r="216" customFormat="false" ht="18" hidden="false" customHeight="true" outlineLevel="0" collapsed="false">
      <c r="A216" s="45" t="s">
        <v>1029</v>
      </c>
      <c r="B216" s="46" t="s">
        <v>164</v>
      </c>
      <c r="C216" s="46" t="s">
        <v>2502</v>
      </c>
      <c r="D216" s="46" t="s">
        <v>2503</v>
      </c>
      <c r="E216" s="46" t="s">
        <v>2504</v>
      </c>
      <c r="F216" s="46" t="s">
        <v>2505</v>
      </c>
      <c r="G216" s="46" t="s">
        <v>1201</v>
      </c>
      <c r="H216" s="46" t="s">
        <v>79</v>
      </c>
      <c r="I216" s="46" t="s">
        <v>2506</v>
      </c>
      <c r="J216" s="46" t="s">
        <v>2507</v>
      </c>
      <c r="K216" s="46" t="s">
        <v>1108</v>
      </c>
      <c r="L216" s="46" t="s">
        <v>2508</v>
      </c>
      <c r="M216" s="46" t="s">
        <v>2034</v>
      </c>
    </row>
    <row r="217" customFormat="false" ht="18" hidden="false" customHeight="true" outlineLevel="0" collapsed="false">
      <c r="A217" s="45" t="s">
        <v>165</v>
      </c>
      <c r="B217" s="46" t="s">
        <v>164</v>
      </c>
      <c r="C217" s="46" t="s">
        <v>2509</v>
      </c>
      <c r="D217" s="46" t="s">
        <v>2510</v>
      </c>
      <c r="E217" s="46" t="s">
        <v>2511</v>
      </c>
      <c r="F217" s="46"/>
      <c r="G217" s="46" t="s">
        <v>2045</v>
      </c>
      <c r="H217" s="46" t="s">
        <v>1243</v>
      </c>
      <c r="I217" s="46" t="s">
        <v>2512</v>
      </c>
      <c r="J217" s="46" t="s">
        <v>2513</v>
      </c>
      <c r="K217" s="46" t="s">
        <v>1130</v>
      </c>
      <c r="L217" s="46" t="s">
        <v>2514</v>
      </c>
      <c r="M217" s="46" t="s">
        <v>2395</v>
      </c>
    </row>
    <row r="218" customFormat="false" ht="18" hidden="false" customHeight="true" outlineLevel="0" collapsed="false">
      <c r="A218" s="45" t="s">
        <v>2515</v>
      </c>
      <c r="B218" s="46" t="s">
        <v>164</v>
      </c>
      <c r="C218" s="46" t="s">
        <v>2516</v>
      </c>
      <c r="D218" s="46" t="s">
        <v>2517</v>
      </c>
      <c r="E218" s="46" t="s">
        <v>2518</v>
      </c>
      <c r="F218" s="46" t="s">
        <v>2519</v>
      </c>
      <c r="G218" s="46" t="s">
        <v>217</v>
      </c>
      <c r="H218" s="46" t="s">
        <v>1137</v>
      </c>
      <c r="I218" s="46" t="s">
        <v>2520</v>
      </c>
      <c r="J218" s="46" t="s">
        <v>2521</v>
      </c>
      <c r="K218" s="46" t="s">
        <v>1140</v>
      </c>
      <c r="L218" s="46" t="s">
        <v>2522</v>
      </c>
      <c r="M218" s="46" t="s">
        <v>1851</v>
      </c>
    </row>
    <row r="219" customFormat="false" ht="18" hidden="false" customHeight="true" outlineLevel="0" collapsed="false">
      <c r="A219" s="45" t="s">
        <v>1084</v>
      </c>
      <c r="B219" s="46" t="s">
        <v>164</v>
      </c>
      <c r="C219" s="46" t="s">
        <v>2523</v>
      </c>
      <c r="D219" s="46" t="s">
        <v>2524</v>
      </c>
      <c r="E219" s="46" t="s">
        <v>1082</v>
      </c>
      <c r="F219" s="46" t="s">
        <v>2525</v>
      </c>
      <c r="G219" s="46" t="s">
        <v>1179</v>
      </c>
      <c r="H219" s="46" t="s">
        <v>80</v>
      </c>
      <c r="I219" s="46" t="s">
        <v>2521</v>
      </c>
      <c r="J219" s="46" t="s">
        <v>2526</v>
      </c>
      <c r="K219" s="46" t="s">
        <v>1130</v>
      </c>
      <c r="L219" s="46" t="s">
        <v>2527</v>
      </c>
      <c r="M219" s="46" t="s">
        <v>1851</v>
      </c>
    </row>
    <row r="220" customFormat="false" ht="18" hidden="false" customHeight="true" outlineLevel="0" collapsed="false">
      <c r="A220" s="45" t="s">
        <v>531</v>
      </c>
      <c r="B220" s="46" t="s">
        <v>164</v>
      </c>
      <c r="C220" s="46" t="s">
        <v>2528</v>
      </c>
      <c r="D220" s="46" t="s">
        <v>2529</v>
      </c>
      <c r="E220" s="46" t="s">
        <v>529</v>
      </c>
      <c r="F220" s="46" t="s">
        <v>2530</v>
      </c>
      <c r="G220" s="46" t="s">
        <v>1564</v>
      </c>
      <c r="H220" s="46" t="s">
        <v>1216</v>
      </c>
      <c r="I220" s="46" t="s">
        <v>2531</v>
      </c>
      <c r="J220" s="46" t="s">
        <v>2526</v>
      </c>
      <c r="K220" s="46" t="s">
        <v>2088</v>
      </c>
      <c r="L220" s="46" t="s">
        <v>2532</v>
      </c>
      <c r="M220" s="46" t="s">
        <v>1851</v>
      </c>
    </row>
    <row r="221" customFormat="false" ht="18" hidden="false" customHeight="true" outlineLevel="0" collapsed="false">
      <c r="A221" s="45" t="s">
        <v>2533</v>
      </c>
      <c r="B221" s="46" t="s">
        <v>164</v>
      </c>
      <c r="C221" s="46" t="s">
        <v>2534</v>
      </c>
      <c r="D221" s="46" t="s">
        <v>1689</v>
      </c>
      <c r="E221" s="46" t="s">
        <v>648</v>
      </c>
      <c r="F221" s="46" t="s">
        <v>2535</v>
      </c>
      <c r="G221" s="46" t="s">
        <v>163</v>
      </c>
      <c r="H221" s="46" t="s">
        <v>1173</v>
      </c>
      <c r="I221" s="46" t="s">
        <v>2536</v>
      </c>
      <c r="J221" s="46" t="s">
        <v>2537</v>
      </c>
      <c r="K221" s="46" t="s">
        <v>1140</v>
      </c>
      <c r="L221" s="46" t="s">
        <v>2538</v>
      </c>
      <c r="M221" s="46" t="s">
        <v>1851</v>
      </c>
    </row>
    <row r="222" customFormat="false" ht="18" hidden="false" customHeight="true" outlineLevel="0" collapsed="false">
      <c r="A222" s="45" t="s">
        <v>1002</v>
      </c>
      <c r="B222" s="46" t="s">
        <v>164</v>
      </c>
      <c r="C222" s="46" t="s">
        <v>2539</v>
      </c>
      <c r="D222" s="46" t="s">
        <v>2540</v>
      </c>
      <c r="E222" s="46" t="s">
        <v>1000</v>
      </c>
      <c r="F222" s="46" t="s">
        <v>2541</v>
      </c>
      <c r="G222" s="46" t="s">
        <v>217</v>
      </c>
      <c r="H222" s="46" t="s">
        <v>79</v>
      </c>
      <c r="I222" s="46" t="s">
        <v>2542</v>
      </c>
      <c r="J222" s="46" t="s">
        <v>2542</v>
      </c>
      <c r="K222" s="46" t="s">
        <v>1140</v>
      </c>
      <c r="L222" s="46" t="s">
        <v>2543</v>
      </c>
      <c r="M222" s="46" t="s">
        <v>2395</v>
      </c>
    </row>
    <row r="223" customFormat="false" ht="18" hidden="false" customHeight="true" outlineLevel="0" collapsed="false">
      <c r="A223" s="45" t="s">
        <v>2544</v>
      </c>
      <c r="B223" s="46" t="s">
        <v>164</v>
      </c>
      <c r="C223" s="46" t="s">
        <v>2545</v>
      </c>
      <c r="D223" s="46" t="s">
        <v>2179</v>
      </c>
      <c r="E223" s="46" t="s">
        <v>2546</v>
      </c>
      <c r="F223" s="46" t="s">
        <v>2547</v>
      </c>
      <c r="G223" s="46" t="s">
        <v>1695</v>
      </c>
      <c r="H223" s="46" t="s">
        <v>82</v>
      </c>
      <c r="I223" s="46" t="s">
        <v>2548</v>
      </c>
      <c r="J223" s="46" t="s">
        <v>2549</v>
      </c>
      <c r="K223" s="46" t="s">
        <v>1130</v>
      </c>
      <c r="L223" s="46" t="s">
        <v>2550</v>
      </c>
      <c r="M223" s="46" t="s">
        <v>1140</v>
      </c>
    </row>
    <row r="224" customFormat="false" ht="18" hidden="false" customHeight="true" outlineLevel="0" collapsed="false">
      <c r="A224" s="45" t="s">
        <v>948</v>
      </c>
      <c r="B224" s="46" t="s">
        <v>164</v>
      </c>
      <c r="C224" s="46" t="s">
        <v>2551</v>
      </c>
      <c r="D224" s="46" t="s">
        <v>2552</v>
      </c>
      <c r="E224" s="46" t="s">
        <v>2553</v>
      </c>
      <c r="F224" s="46" t="s">
        <v>2554</v>
      </c>
      <c r="G224" s="46" t="s">
        <v>2399</v>
      </c>
      <c r="H224" s="46" t="s">
        <v>80</v>
      </c>
      <c r="I224" s="46" t="s">
        <v>2555</v>
      </c>
      <c r="J224" s="46" t="s">
        <v>2556</v>
      </c>
      <c r="K224" s="46" t="s">
        <v>1381</v>
      </c>
      <c r="L224" s="46" t="s">
        <v>2557</v>
      </c>
      <c r="M224" s="46" t="s">
        <v>1140</v>
      </c>
    </row>
    <row r="225" customFormat="false" ht="18" hidden="false" customHeight="true" outlineLevel="0" collapsed="false">
      <c r="A225" s="45" t="s">
        <v>358</v>
      </c>
      <c r="B225" s="46" t="s">
        <v>164</v>
      </c>
      <c r="C225" s="46" t="s">
        <v>2558</v>
      </c>
      <c r="D225" s="46" t="s">
        <v>2559</v>
      </c>
      <c r="E225" s="46" t="s">
        <v>2560</v>
      </c>
      <c r="F225" s="46" t="s">
        <v>2561</v>
      </c>
      <c r="G225" s="46" t="s">
        <v>1824</v>
      </c>
      <c r="H225" s="46" t="s">
        <v>79</v>
      </c>
      <c r="I225" s="46" t="s">
        <v>2562</v>
      </c>
      <c r="J225" s="46" t="s">
        <v>2563</v>
      </c>
      <c r="K225" s="46" t="s">
        <v>1182</v>
      </c>
      <c r="L225" s="46" t="s">
        <v>2564</v>
      </c>
      <c r="M225" s="46" t="s">
        <v>1851</v>
      </c>
    </row>
    <row r="226" customFormat="false" ht="18" hidden="false" customHeight="true" outlineLevel="0" collapsed="false">
      <c r="A226" s="45" t="s">
        <v>603</v>
      </c>
      <c r="B226" s="46" t="s">
        <v>164</v>
      </c>
      <c r="C226" s="46" t="s">
        <v>2565</v>
      </c>
      <c r="D226" s="46" t="s">
        <v>2566</v>
      </c>
      <c r="E226" s="46" t="s">
        <v>601</v>
      </c>
      <c r="F226" s="46" t="s">
        <v>2567</v>
      </c>
      <c r="G226" s="46" t="s">
        <v>239</v>
      </c>
      <c r="H226" s="46" t="s">
        <v>79</v>
      </c>
      <c r="I226" s="46" t="s">
        <v>2568</v>
      </c>
      <c r="J226" s="46" t="s">
        <v>2569</v>
      </c>
      <c r="K226" s="46" t="s">
        <v>1165</v>
      </c>
      <c r="L226" s="46" t="s">
        <v>2570</v>
      </c>
      <c r="M226" s="46" t="s">
        <v>1140</v>
      </c>
    </row>
    <row r="227" customFormat="false" ht="18" hidden="false" customHeight="true" outlineLevel="0" collapsed="false">
      <c r="A227" s="45" t="s">
        <v>2571</v>
      </c>
      <c r="B227" s="46" t="s">
        <v>164</v>
      </c>
      <c r="C227" s="46" t="s">
        <v>2572</v>
      </c>
      <c r="D227" s="46" t="s">
        <v>2573</v>
      </c>
      <c r="E227" s="46" t="s">
        <v>2574</v>
      </c>
      <c r="F227" s="46" t="s">
        <v>2575</v>
      </c>
      <c r="G227" s="46" t="s">
        <v>128</v>
      </c>
      <c r="H227" s="46" t="s">
        <v>79</v>
      </c>
      <c r="I227" s="46" t="s">
        <v>2576</v>
      </c>
      <c r="J227" s="46" t="s">
        <v>2577</v>
      </c>
      <c r="K227" s="46" t="s">
        <v>1130</v>
      </c>
      <c r="L227" s="46" t="s">
        <v>2578</v>
      </c>
      <c r="M227" s="46" t="s">
        <v>2395</v>
      </c>
    </row>
    <row r="228" customFormat="false" ht="18" hidden="false" customHeight="true" outlineLevel="0" collapsed="false">
      <c r="A228" s="45" t="s">
        <v>2579</v>
      </c>
      <c r="B228" s="46" t="s">
        <v>164</v>
      </c>
      <c r="C228" s="46" t="s">
        <v>2580</v>
      </c>
      <c r="D228" s="46" t="s">
        <v>2136</v>
      </c>
      <c r="E228" s="46" t="s">
        <v>466</v>
      </c>
      <c r="F228" s="46" t="s">
        <v>2581</v>
      </c>
      <c r="G228" s="46" t="s">
        <v>163</v>
      </c>
      <c r="H228" s="46" t="s">
        <v>1173</v>
      </c>
      <c r="I228" s="46" t="s">
        <v>2582</v>
      </c>
      <c r="J228" s="46" t="s">
        <v>2435</v>
      </c>
      <c r="K228" s="46" t="s">
        <v>1224</v>
      </c>
      <c r="L228" s="46" t="s">
        <v>2583</v>
      </c>
      <c r="M228" s="46" t="s">
        <v>1851</v>
      </c>
    </row>
    <row r="229" customFormat="false" ht="18" hidden="false" customHeight="true" outlineLevel="0" collapsed="false">
      <c r="A229" s="45" t="s">
        <v>233</v>
      </c>
      <c r="B229" s="46" t="s">
        <v>164</v>
      </c>
      <c r="C229" s="46" t="s">
        <v>2584</v>
      </c>
      <c r="D229" s="46" t="s">
        <v>2585</v>
      </c>
      <c r="E229" s="46"/>
      <c r="F229" s="46" t="s">
        <v>2586</v>
      </c>
      <c r="G229" s="46" t="s">
        <v>128</v>
      </c>
      <c r="H229" s="46" t="s">
        <v>1137</v>
      </c>
      <c r="I229" s="46" t="s">
        <v>2587</v>
      </c>
      <c r="J229" s="46" t="s">
        <v>2588</v>
      </c>
      <c r="K229" s="46" t="s">
        <v>1116</v>
      </c>
      <c r="L229" s="46" t="s">
        <v>2589</v>
      </c>
      <c r="M229" s="46" t="s">
        <v>1140</v>
      </c>
    </row>
    <row r="230" customFormat="false" ht="18" hidden="false" customHeight="true" outlineLevel="0" collapsed="false">
      <c r="A230" s="45" t="s">
        <v>2590</v>
      </c>
      <c r="B230" s="46" t="s">
        <v>164</v>
      </c>
      <c r="C230" s="46" t="s">
        <v>2591</v>
      </c>
      <c r="D230" s="46" t="s">
        <v>2592</v>
      </c>
      <c r="E230" s="46" t="s">
        <v>2593</v>
      </c>
      <c r="F230" s="46" t="s">
        <v>2594</v>
      </c>
      <c r="G230" s="46" t="s">
        <v>1194</v>
      </c>
      <c r="H230" s="46" t="s">
        <v>79</v>
      </c>
      <c r="I230" s="46" t="s">
        <v>2595</v>
      </c>
      <c r="J230" s="46" t="s">
        <v>2556</v>
      </c>
      <c r="K230" s="46" t="s">
        <v>1108</v>
      </c>
      <c r="L230" s="46" t="s">
        <v>2596</v>
      </c>
      <c r="M230" s="46" t="s">
        <v>2034</v>
      </c>
    </row>
    <row r="231" customFormat="false" ht="18" hidden="false" customHeight="true" outlineLevel="0" collapsed="false">
      <c r="A231" s="45" t="s">
        <v>2597</v>
      </c>
      <c r="B231" s="46" t="s">
        <v>164</v>
      </c>
      <c r="C231" s="46" t="s">
        <v>2598</v>
      </c>
      <c r="D231" s="46" t="s">
        <v>2599</v>
      </c>
      <c r="E231" s="46" t="s">
        <v>519</v>
      </c>
      <c r="F231" s="46" t="s">
        <v>2600</v>
      </c>
      <c r="G231" s="46" t="s">
        <v>2157</v>
      </c>
      <c r="H231" s="46" t="s">
        <v>80</v>
      </c>
      <c r="I231" s="46" t="s">
        <v>2601</v>
      </c>
      <c r="J231" s="46" t="s">
        <v>2602</v>
      </c>
      <c r="K231" s="46" t="s">
        <v>1130</v>
      </c>
      <c r="L231" s="46" t="s">
        <v>2603</v>
      </c>
      <c r="M231" s="46" t="s">
        <v>1851</v>
      </c>
    </row>
    <row r="232" customFormat="false" ht="18" hidden="false" customHeight="true" outlineLevel="0" collapsed="false">
      <c r="A232" s="45" t="s">
        <v>2604</v>
      </c>
      <c r="B232" s="46" t="s">
        <v>164</v>
      </c>
      <c r="C232" s="46" t="s">
        <v>2605</v>
      </c>
      <c r="D232" s="46" t="s">
        <v>1256</v>
      </c>
      <c r="E232" s="46" t="s">
        <v>804</v>
      </c>
      <c r="F232" s="46" t="s">
        <v>2111</v>
      </c>
      <c r="G232" s="46" t="s">
        <v>137</v>
      </c>
      <c r="H232" s="46" t="s">
        <v>83</v>
      </c>
      <c r="I232" s="46" t="s">
        <v>2606</v>
      </c>
      <c r="J232" s="46" t="s">
        <v>2607</v>
      </c>
      <c r="K232" s="46" t="s">
        <v>1140</v>
      </c>
      <c r="L232" s="46" t="s">
        <v>2608</v>
      </c>
      <c r="M232" s="46" t="s">
        <v>1851</v>
      </c>
    </row>
    <row r="233" customFormat="false" ht="18" hidden="false" customHeight="true" outlineLevel="0" collapsed="false">
      <c r="A233" s="45" t="s">
        <v>2609</v>
      </c>
      <c r="B233" s="46" t="s">
        <v>164</v>
      </c>
      <c r="C233" s="46" t="s">
        <v>2610</v>
      </c>
      <c r="D233" s="46" t="s">
        <v>2611</v>
      </c>
      <c r="E233" s="46" t="s">
        <v>942</v>
      </c>
      <c r="F233" s="46" t="s">
        <v>2612</v>
      </c>
      <c r="G233" s="46" t="s">
        <v>128</v>
      </c>
      <c r="H233" s="46" t="s">
        <v>1173</v>
      </c>
      <c r="I233" s="46" t="s">
        <v>2613</v>
      </c>
      <c r="J233" s="46" t="s">
        <v>2614</v>
      </c>
      <c r="K233" s="46" t="s">
        <v>1149</v>
      </c>
      <c r="L233" s="46" t="s">
        <v>2615</v>
      </c>
      <c r="M233" s="46" t="s">
        <v>1140</v>
      </c>
    </row>
    <row r="234" customFormat="false" ht="18" hidden="false" customHeight="true" outlineLevel="0" collapsed="false">
      <c r="A234" s="45" t="s">
        <v>2616</v>
      </c>
      <c r="B234" s="46" t="s">
        <v>164</v>
      </c>
      <c r="C234" s="46" t="s">
        <v>2617</v>
      </c>
      <c r="D234" s="46" t="s">
        <v>2017</v>
      </c>
      <c r="E234" s="46" t="s">
        <v>2618</v>
      </c>
      <c r="F234" s="46" t="s">
        <v>2619</v>
      </c>
      <c r="G234" s="46" t="s">
        <v>150</v>
      </c>
      <c r="H234" s="46" t="s">
        <v>80</v>
      </c>
      <c r="I234" s="46" t="s">
        <v>2620</v>
      </c>
      <c r="J234" s="46" t="s">
        <v>2621</v>
      </c>
      <c r="K234" s="46" t="s">
        <v>1272</v>
      </c>
      <c r="L234" s="46" t="s">
        <v>2622</v>
      </c>
      <c r="M234" s="46" t="s">
        <v>1851</v>
      </c>
    </row>
    <row r="235" customFormat="false" ht="18" hidden="false" customHeight="true" outlineLevel="0" collapsed="false">
      <c r="A235" s="45" t="s">
        <v>2623</v>
      </c>
      <c r="B235" s="46" t="s">
        <v>164</v>
      </c>
      <c r="C235" s="46" t="s">
        <v>2624</v>
      </c>
      <c r="D235" s="46" t="s">
        <v>2625</v>
      </c>
      <c r="E235" s="46" t="s">
        <v>916</v>
      </c>
      <c r="F235" s="46" t="s">
        <v>2626</v>
      </c>
      <c r="G235" s="46" t="s">
        <v>170</v>
      </c>
      <c r="H235" s="46" t="s">
        <v>1585</v>
      </c>
      <c r="I235" s="46" t="s">
        <v>2627</v>
      </c>
      <c r="J235" s="46" t="s">
        <v>2628</v>
      </c>
      <c r="K235" s="46" t="s">
        <v>1272</v>
      </c>
      <c r="L235" s="46" t="s">
        <v>2629</v>
      </c>
      <c r="M235" s="46" t="s">
        <v>2395</v>
      </c>
    </row>
    <row r="236" customFormat="false" ht="18" hidden="false" customHeight="true" outlineLevel="0" collapsed="false">
      <c r="A236" s="45" t="s">
        <v>2630</v>
      </c>
      <c r="B236" s="46" t="s">
        <v>164</v>
      </c>
      <c r="C236" s="46" t="s">
        <v>2631</v>
      </c>
      <c r="D236" s="46" t="s">
        <v>2632</v>
      </c>
      <c r="E236" s="46" t="s">
        <v>2633</v>
      </c>
      <c r="F236" s="46" t="s">
        <v>2634</v>
      </c>
      <c r="G236" s="46" t="s">
        <v>1337</v>
      </c>
      <c r="H236" s="46" t="s">
        <v>1162</v>
      </c>
      <c r="I236" s="46" t="s">
        <v>2635</v>
      </c>
      <c r="J236" s="46" t="s">
        <v>2636</v>
      </c>
      <c r="K236" s="46" t="s">
        <v>1272</v>
      </c>
      <c r="L236" s="46" t="s">
        <v>2637</v>
      </c>
      <c r="M236" s="46" t="s">
        <v>1140</v>
      </c>
    </row>
    <row r="237" customFormat="false" ht="18" hidden="false" customHeight="true" outlineLevel="0" collapsed="false">
      <c r="A237" s="45" t="s">
        <v>2638</v>
      </c>
      <c r="B237" s="46" t="s">
        <v>164</v>
      </c>
      <c r="C237" s="46" t="s">
        <v>2639</v>
      </c>
      <c r="D237" s="46" t="s">
        <v>1788</v>
      </c>
      <c r="E237" s="46" t="s">
        <v>710</v>
      </c>
      <c r="F237" s="46" t="s">
        <v>1789</v>
      </c>
      <c r="G237" s="46" t="s">
        <v>128</v>
      </c>
      <c r="H237" s="46" t="s">
        <v>79</v>
      </c>
      <c r="I237" s="46" t="s">
        <v>2640</v>
      </c>
      <c r="J237" s="46" t="s">
        <v>2641</v>
      </c>
      <c r="K237" s="46" t="s">
        <v>1140</v>
      </c>
      <c r="L237" s="46" t="s">
        <v>2642</v>
      </c>
      <c r="M237" s="46" t="s">
        <v>2395</v>
      </c>
    </row>
    <row r="238" customFormat="false" ht="18" hidden="false" customHeight="true" outlineLevel="0" collapsed="false">
      <c r="A238" s="45" t="s">
        <v>336</v>
      </c>
      <c r="B238" s="46" t="s">
        <v>164</v>
      </c>
      <c r="C238" s="46" t="s">
        <v>2643</v>
      </c>
      <c r="D238" s="46" t="s">
        <v>2644</v>
      </c>
      <c r="E238" s="46" t="s">
        <v>334</v>
      </c>
      <c r="F238" s="46" t="s">
        <v>2645</v>
      </c>
      <c r="G238" s="46" t="s">
        <v>1194</v>
      </c>
      <c r="H238" s="46" t="s">
        <v>1137</v>
      </c>
      <c r="I238" s="46" t="s">
        <v>2646</v>
      </c>
      <c r="J238" s="46" t="s">
        <v>2647</v>
      </c>
      <c r="K238" s="46" t="s">
        <v>2105</v>
      </c>
      <c r="L238" s="46" t="s">
        <v>2648</v>
      </c>
      <c r="M238" s="46" t="s">
        <v>1140</v>
      </c>
    </row>
    <row r="239" customFormat="false" ht="18" hidden="false" customHeight="true" outlineLevel="0" collapsed="false">
      <c r="A239" s="45" t="s">
        <v>2649</v>
      </c>
      <c r="B239" s="46" t="s">
        <v>164</v>
      </c>
      <c r="C239" s="46" t="s">
        <v>2650</v>
      </c>
      <c r="D239" s="46" t="s">
        <v>2651</v>
      </c>
      <c r="E239" s="46" t="s">
        <v>1031</v>
      </c>
      <c r="F239" s="46" t="s">
        <v>2652</v>
      </c>
      <c r="G239" s="46" t="s">
        <v>1824</v>
      </c>
      <c r="H239" s="46" t="s">
        <v>79</v>
      </c>
      <c r="I239" s="46" t="s">
        <v>2653</v>
      </c>
      <c r="J239" s="46" t="s">
        <v>2653</v>
      </c>
      <c r="K239" s="46" t="s">
        <v>1140</v>
      </c>
      <c r="L239" s="46" t="s">
        <v>2654</v>
      </c>
      <c r="M239" s="46" t="s">
        <v>2395</v>
      </c>
    </row>
    <row r="240" customFormat="false" ht="18" hidden="false" customHeight="true" outlineLevel="0" collapsed="false">
      <c r="A240" s="45" t="s">
        <v>830</v>
      </c>
      <c r="B240" s="46" t="s">
        <v>164</v>
      </c>
      <c r="C240" s="46" t="s">
        <v>2655</v>
      </c>
      <c r="D240" s="46" t="s">
        <v>2656</v>
      </c>
      <c r="E240" s="46" t="s">
        <v>828</v>
      </c>
      <c r="F240" s="46" t="s">
        <v>2657</v>
      </c>
      <c r="G240" s="46" t="s">
        <v>150</v>
      </c>
      <c r="H240" s="46" t="s">
        <v>80</v>
      </c>
      <c r="I240" s="46" t="s">
        <v>2658</v>
      </c>
      <c r="J240" s="46" t="s">
        <v>2659</v>
      </c>
      <c r="K240" s="46" t="s">
        <v>1165</v>
      </c>
      <c r="L240" s="46" t="s">
        <v>2660</v>
      </c>
      <c r="M240" s="46" t="s">
        <v>2395</v>
      </c>
    </row>
    <row r="241" customFormat="false" ht="18" hidden="false" customHeight="true" outlineLevel="0" collapsed="false">
      <c r="A241" s="45" t="s">
        <v>2661</v>
      </c>
      <c r="B241" s="46" t="s">
        <v>164</v>
      </c>
      <c r="C241" s="46" t="s">
        <v>2662</v>
      </c>
      <c r="D241" s="46" t="s">
        <v>2611</v>
      </c>
      <c r="E241" s="46" t="s">
        <v>942</v>
      </c>
      <c r="F241" s="46" t="s">
        <v>2663</v>
      </c>
      <c r="G241" s="46" t="s">
        <v>128</v>
      </c>
      <c r="H241" s="46" t="s">
        <v>1137</v>
      </c>
      <c r="I241" s="46" t="s">
        <v>2613</v>
      </c>
      <c r="J241" s="46" t="s">
        <v>2614</v>
      </c>
      <c r="K241" s="46" t="s">
        <v>1149</v>
      </c>
      <c r="L241" s="46" t="s">
        <v>2615</v>
      </c>
      <c r="M241" s="46" t="s">
        <v>1140</v>
      </c>
    </row>
    <row r="242" customFormat="false" ht="18" hidden="false" customHeight="true" outlineLevel="0" collapsed="false">
      <c r="A242" s="45" t="s">
        <v>2664</v>
      </c>
      <c r="B242" s="46" t="s">
        <v>164</v>
      </c>
      <c r="C242" s="46" t="s">
        <v>2665</v>
      </c>
      <c r="D242" s="46" t="s">
        <v>1731</v>
      </c>
      <c r="E242" s="46"/>
      <c r="F242" s="46" t="s">
        <v>2666</v>
      </c>
      <c r="G242" s="46" t="s">
        <v>120</v>
      </c>
      <c r="H242" s="46" t="s">
        <v>1236</v>
      </c>
      <c r="I242" s="46" t="s">
        <v>2667</v>
      </c>
      <c r="J242" s="46" t="s">
        <v>2668</v>
      </c>
      <c r="K242" s="46" t="s">
        <v>1140</v>
      </c>
      <c r="L242" s="46" t="s">
        <v>2394</v>
      </c>
      <c r="M242" s="46" t="s">
        <v>1851</v>
      </c>
    </row>
    <row r="243" customFormat="false" ht="18" hidden="false" customHeight="true" outlineLevel="0" collapsed="false">
      <c r="A243" s="45" t="s">
        <v>240</v>
      </c>
      <c r="B243" s="46" t="s">
        <v>164</v>
      </c>
      <c r="C243" s="46" t="s">
        <v>2669</v>
      </c>
      <c r="D243" s="46" t="s">
        <v>2670</v>
      </c>
      <c r="E243" s="46" t="s">
        <v>2671</v>
      </c>
      <c r="F243" s="46" t="s">
        <v>2672</v>
      </c>
      <c r="G243" s="46" t="s">
        <v>1917</v>
      </c>
      <c r="H243" s="46" t="s">
        <v>79</v>
      </c>
      <c r="I243" s="46" t="s">
        <v>2673</v>
      </c>
      <c r="J243" s="46" t="s">
        <v>2674</v>
      </c>
      <c r="K243" s="46" t="s">
        <v>1272</v>
      </c>
      <c r="L243" s="46" t="s">
        <v>2675</v>
      </c>
      <c r="M243" s="46" t="s">
        <v>2034</v>
      </c>
    </row>
    <row r="244" customFormat="false" ht="18" hidden="false" customHeight="true" outlineLevel="0" collapsed="false">
      <c r="A244" s="45" t="s">
        <v>251</v>
      </c>
      <c r="B244" s="46" t="s">
        <v>164</v>
      </c>
      <c r="C244" s="46" t="s">
        <v>2676</v>
      </c>
      <c r="D244" s="46" t="s">
        <v>2677</v>
      </c>
      <c r="E244" s="46" t="s">
        <v>249</v>
      </c>
      <c r="F244" s="46" t="s">
        <v>2678</v>
      </c>
      <c r="G244" s="46" t="s">
        <v>170</v>
      </c>
      <c r="H244" s="46" t="s">
        <v>2243</v>
      </c>
      <c r="I244" s="46" t="s">
        <v>2679</v>
      </c>
      <c r="J244" s="46" t="s">
        <v>2680</v>
      </c>
      <c r="K244" s="46" t="s">
        <v>1165</v>
      </c>
      <c r="L244" s="46" t="s">
        <v>2681</v>
      </c>
      <c r="M244" s="46" t="s">
        <v>1140</v>
      </c>
    </row>
    <row r="245" customFormat="false" ht="18" hidden="false" customHeight="true" outlineLevel="0" collapsed="false">
      <c r="A245" s="45" t="s">
        <v>516</v>
      </c>
      <c r="B245" s="46" t="s">
        <v>164</v>
      </c>
      <c r="C245" s="46" t="s">
        <v>2682</v>
      </c>
      <c r="D245" s="46" t="s">
        <v>2683</v>
      </c>
      <c r="E245" s="46" t="s">
        <v>2684</v>
      </c>
      <c r="F245" s="46" t="s">
        <v>2685</v>
      </c>
      <c r="G245" s="46" t="s">
        <v>2399</v>
      </c>
      <c r="H245" s="46" t="s">
        <v>1330</v>
      </c>
      <c r="I245" s="46" t="s">
        <v>2686</v>
      </c>
      <c r="J245" s="46" t="s">
        <v>2641</v>
      </c>
      <c r="K245" s="46" t="s">
        <v>1182</v>
      </c>
      <c r="L245" s="46" t="s">
        <v>2687</v>
      </c>
      <c r="M245" s="46" t="s">
        <v>2034</v>
      </c>
    </row>
    <row r="246" customFormat="false" ht="18" hidden="false" customHeight="true" outlineLevel="0" collapsed="false">
      <c r="A246" s="45" t="s">
        <v>2688</v>
      </c>
      <c r="B246" s="46" t="s">
        <v>164</v>
      </c>
      <c r="C246" s="46" t="s">
        <v>2689</v>
      </c>
      <c r="D246" s="46" t="s">
        <v>2690</v>
      </c>
      <c r="E246" s="46" t="s">
        <v>187</v>
      </c>
      <c r="F246" s="46" t="s">
        <v>2304</v>
      </c>
      <c r="G246" s="46" t="s">
        <v>1235</v>
      </c>
      <c r="H246" s="46" t="s">
        <v>80</v>
      </c>
      <c r="I246" s="46" t="s">
        <v>2691</v>
      </c>
      <c r="J246" s="46" t="s">
        <v>2692</v>
      </c>
      <c r="K246" s="46" t="s">
        <v>1307</v>
      </c>
      <c r="L246" s="46" t="s">
        <v>2693</v>
      </c>
      <c r="M246" s="46" t="s">
        <v>1140</v>
      </c>
    </row>
    <row r="247" customFormat="false" ht="18" hidden="false" customHeight="true" outlineLevel="0" collapsed="false">
      <c r="A247" s="45" t="s">
        <v>228</v>
      </c>
      <c r="B247" s="46" t="s">
        <v>164</v>
      </c>
      <c r="C247" s="46" t="s">
        <v>2694</v>
      </c>
      <c r="D247" s="46" t="s">
        <v>2695</v>
      </c>
      <c r="E247" s="46" t="s">
        <v>2696</v>
      </c>
      <c r="F247" s="46" t="s">
        <v>2697</v>
      </c>
      <c r="G247" s="46" t="s">
        <v>1482</v>
      </c>
      <c r="H247" s="46" t="s">
        <v>1243</v>
      </c>
      <c r="I247" s="46" t="s">
        <v>2698</v>
      </c>
      <c r="J247" s="46" t="s">
        <v>2367</v>
      </c>
      <c r="K247" s="46" t="s">
        <v>1224</v>
      </c>
      <c r="L247" s="46" t="s">
        <v>2699</v>
      </c>
      <c r="M247" s="46" t="s">
        <v>2034</v>
      </c>
    </row>
    <row r="248" customFormat="false" ht="18" hidden="false" customHeight="true" outlineLevel="0" collapsed="false">
      <c r="A248" s="45" t="s">
        <v>2700</v>
      </c>
      <c r="B248" s="46" t="s">
        <v>164</v>
      </c>
      <c r="C248" s="46" t="s">
        <v>2701</v>
      </c>
      <c r="D248" s="46" t="s">
        <v>2702</v>
      </c>
      <c r="E248" s="46" t="s">
        <v>988</v>
      </c>
      <c r="F248" s="46"/>
      <c r="G248" s="46" t="s">
        <v>1564</v>
      </c>
      <c r="H248" s="46" t="s">
        <v>80</v>
      </c>
      <c r="I248" s="46" t="s">
        <v>2703</v>
      </c>
      <c r="J248" s="46" t="s">
        <v>2704</v>
      </c>
      <c r="K248" s="46" t="s">
        <v>1130</v>
      </c>
      <c r="L248" s="46" t="s">
        <v>2705</v>
      </c>
      <c r="M248" s="46" t="s">
        <v>1140</v>
      </c>
    </row>
    <row r="249" customFormat="false" ht="18" hidden="false" customHeight="true" outlineLevel="0" collapsed="false">
      <c r="A249" s="45" t="s">
        <v>814</v>
      </c>
      <c r="B249" s="46" t="s">
        <v>164</v>
      </c>
      <c r="C249" s="46" t="s">
        <v>2706</v>
      </c>
      <c r="D249" s="46" t="s">
        <v>2707</v>
      </c>
      <c r="E249" s="46"/>
      <c r="F249" s="46" t="s">
        <v>2708</v>
      </c>
      <c r="G249" s="46" t="s">
        <v>81</v>
      </c>
      <c r="H249" s="46" t="s">
        <v>1489</v>
      </c>
      <c r="I249" s="46" t="s">
        <v>2709</v>
      </c>
      <c r="J249" s="46" t="s">
        <v>2710</v>
      </c>
      <c r="K249" s="46" t="s">
        <v>1513</v>
      </c>
      <c r="L249" s="46" t="s">
        <v>2711</v>
      </c>
      <c r="M249" s="46" t="s">
        <v>1851</v>
      </c>
    </row>
    <row r="250" customFormat="false" ht="18" hidden="false" customHeight="true" outlineLevel="0" collapsed="false">
      <c r="A250" s="45" t="s">
        <v>2712</v>
      </c>
      <c r="B250" s="46" t="s">
        <v>164</v>
      </c>
      <c r="C250" s="46" t="s">
        <v>2713</v>
      </c>
      <c r="D250" s="46" t="s">
        <v>2714</v>
      </c>
      <c r="E250" s="46" t="s">
        <v>1039</v>
      </c>
      <c r="F250" s="46" t="s">
        <v>1823</v>
      </c>
      <c r="G250" s="46" t="s">
        <v>128</v>
      </c>
      <c r="H250" s="46" t="s">
        <v>1243</v>
      </c>
      <c r="I250" s="46" t="s">
        <v>2411</v>
      </c>
      <c r="J250" s="46" t="s">
        <v>2715</v>
      </c>
      <c r="K250" s="46" t="s">
        <v>1140</v>
      </c>
      <c r="L250" s="46" t="s">
        <v>2716</v>
      </c>
      <c r="M250" s="46" t="s">
        <v>2034</v>
      </c>
    </row>
    <row r="251" customFormat="false" ht="18" hidden="false" customHeight="true" outlineLevel="0" collapsed="false">
      <c r="A251" s="45" t="s">
        <v>2717</v>
      </c>
      <c r="B251" s="46" t="s">
        <v>164</v>
      </c>
      <c r="C251" s="46" t="s">
        <v>2718</v>
      </c>
      <c r="D251" s="46" t="s">
        <v>2719</v>
      </c>
      <c r="E251" s="46" t="s">
        <v>2720</v>
      </c>
      <c r="F251" s="46" t="s">
        <v>2721</v>
      </c>
      <c r="G251" s="46" t="s">
        <v>1863</v>
      </c>
      <c r="H251" s="46" t="s">
        <v>1489</v>
      </c>
      <c r="I251" s="46" t="s">
        <v>2722</v>
      </c>
      <c r="J251" s="46" t="s">
        <v>2723</v>
      </c>
      <c r="K251" s="46" t="s">
        <v>1140</v>
      </c>
      <c r="L251" s="46" t="s">
        <v>2724</v>
      </c>
      <c r="M251" s="46" t="s">
        <v>1851</v>
      </c>
    </row>
    <row r="252" customFormat="false" ht="18" hidden="false" customHeight="true" outlineLevel="0" collapsed="false">
      <c r="A252" s="45" t="s">
        <v>462</v>
      </c>
      <c r="B252" s="46" t="s">
        <v>164</v>
      </c>
      <c r="C252" s="46" t="s">
        <v>2725</v>
      </c>
      <c r="D252" s="46" t="s">
        <v>2726</v>
      </c>
      <c r="E252" s="46" t="s">
        <v>460</v>
      </c>
      <c r="F252" s="46" t="s">
        <v>2727</v>
      </c>
      <c r="G252" s="46" t="s">
        <v>150</v>
      </c>
      <c r="H252" s="46" t="s">
        <v>1216</v>
      </c>
      <c r="I252" s="46" t="s">
        <v>2728</v>
      </c>
      <c r="J252" s="46" t="s">
        <v>2729</v>
      </c>
      <c r="K252" s="46" t="s">
        <v>1513</v>
      </c>
      <c r="L252" s="46" t="s">
        <v>2730</v>
      </c>
      <c r="M252" s="46" t="s">
        <v>1851</v>
      </c>
    </row>
    <row r="253" customFormat="false" ht="18" hidden="false" customHeight="true" outlineLevel="0" collapsed="false">
      <c r="A253" s="45" t="s">
        <v>2731</v>
      </c>
      <c r="B253" s="46" t="s">
        <v>164</v>
      </c>
      <c r="C253" s="46" t="s">
        <v>2732</v>
      </c>
      <c r="D253" s="46" t="s">
        <v>1830</v>
      </c>
      <c r="E253" s="46" t="s">
        <v>554</v>
      </c>
      <c r="F253" s="46" t="s">
        <v>2733</v>
      </c>
      <c r="G253" s="46" t="s">
        <v>1824</v>
      </c>
      <c r="H253" s="46" t="s">
        <v>1243</v>
      </c>
      <c r="I253" s="46" t="s">
        <v>2734</v>
      </c>
      <c r="J253" s="46" t="s">
        <v>2735</v>
      </c>
      <c r="K253" s="46" t="s">
        <v>1130</v>
      </c>
      <c r="L253" s="46" t="s">
        <v>2736</v>
      </c>
      <c r="M253" s="46" t="s">
        <v>1140</v>
      </c>
    </row>
    <row r="254" customFormat="false" ht="18" hidden="false" customHeight="true" outlineLevel="0" collapsed="false">
      <c r="A254" s="45" t="s">
        <v>2737</v>
      </c>
      <c r="B254" s="46" t="s">
        <v>164</v>
      </c>
      <c r="C254" s="46" t="s">
        <v>2738</v>
      </c>
      <c r="D254" s="46" t="s">
        <v>1296</v>
      </c>
      <c r="E254" s="46"/>
      <c r="F254" s="46" t="s">
        <v>2739</v>
      </c>
      <c r="G254" s="46" t="s">
        <v>1298</v>
      </c>
      <c r="H254" s="46" t="s">
        <v>1216</v>
      </c>
      <c r="I254" s="46" t="s">
        <v>2667</v>
      </c>
      <c r="J254" s="46" t="s">
        <v>2740</v>
      </c>
      <c r="K254" s="46" t="s">
        <v>1140</v>
      </c>
      <c r="L254" s="46" t="s">
        <v>2741</v>
      </c>
      <c r="M254" s="46" t="s">
        <v>2034</v>
      </c>
    </row>
    <row r="255" customFormat="false" ht="18" hidden="false" customHeight="true" outlineLevel="0" collapsed="false">
      <c r="A255" s="45" t="s">
        <v>690</v>
      </c>
      <c r="B255" s="46" t="s">
        <v>164</v>
      </c>
      <c r="C255" s="46" t="s">
        <v>2742</v>
      </c>
      <c r="D255" s="46" t="s">
        <v>2743</v>
      </c>
      <c r="E255" s="46" t="s">
        <v>688</v>
      </c>
      <c r="F255" s="46" t="s">
        <v>2744</v>
      </c>
      <c r="G255" s="46" t="s">
        <v>128</v>
      </c>
      <c r="H255" s="46" t="s">
        <v>79</v>
      </c>
      <c r="I255" s="46" t="s">
        <v>2745</v>
      </c>
      <c r="J255" s="46" t="s">
        <v>2746</v>
      </c>
      <c r="K255" s="46" t="s">
        <v>1224</v>
      </c>
      <c r="L255" s="46" t="s">
        <v>2747</v>
      </c>
      <c r="M255" s="46" t="s">
        <v>1851</v>
      </c>
    </row>
    <row r="256" customFormat="false" ht="18" hidden="false" customHeight="true" outlineLevel="0" collapsed="false">
      <c r="A256" s="45" t="s">
        <v>599</v>
      </c>
      <c r="B256" s="46" t="s">
        <v>164</v>
      </c>
      <c r="C256" s="46" t="s">
        <v>2748</v>
      </c>
      <c r="D256" s="46" t="s">
        <v>2749</v>
      </c>
      <c r="E256" s="46" t="s">
        <v>597</v>
      </c>
      <c r="F256" s="46" t="s">
        <v>2750</v>
      </c>
      <c r="G256" s="46" t="s">
        <v>1564</v>
      </c>
      <c r="H256" s="46" t="s">
        <v>80</v>
      </c>
      <c r="I256" s="46" t="s">
        <v>2751</v>
      </c>
      <c r="J256" s="46" t="s">
        <v>2752</v>
      </c>
      <c r="K256" s="46" t="s">
        <v>1381</v>
      </c>
      <c r="L256" s="46" t="s">
        <v>2753</v>
      </c>
      <c r="M256" s="46" t="s">
        <v>1140</v>
      </c>
    </row>
    <row r="257" customFormat="false" ht="18" hidden="false" customHeight="true" outlineLevel="0" collapsed="false">
      <c r="A257" s="45" t="s">
        <v>457</v>
      </c>
      <c r="B257" s="46" t="s">
        <v>164</v>
      </c>
      <c r="C257" s="46" t="s">
        <v>2754</v>
      </c>
      <c r="D257" s="46" t="s">
        <v>2755</v>
      </c>
      <c r="E257" s="46" t="s">
        <v>455</v>
      </c>
      <c r="F257" s="46" t="s">
        <v>2756</v>
      </c>
      <c r="G257" s="46" t="s">
        <v>1544</v>
      </c>
      <c r="H257" s="46" t="s">
        <v>79</v>
      </c>
      <c r="I257" s="46" t="s">
        <v>2757</v>
      </c>
      <c r="J257" s="46" t="s">
        <v>2758</v>
      </c>
      <c r="K257" s="46" t="s">
        <v>1130</v>
      </c>
      <c r="L257" s="46" t="s">
        <v>2759</v>
      </c>
      <c r="M257" s="46" t="s">
        <v>1140</v>
      </c>
    </row>
    <row r="258" customFormat="false" ht="18" hidden="false" customHeight="true" outlineLevel="0" collapsed="false">
      <c r="A258" s="45" t="s">
        <v>2760</v>
      </c>
      <c r="B258" s="46" t="s">
        <v>164</v>
      </c>
      <c r="C258" s="46" t="s">
        <v>2761</v>
      </c>
      <c r="D258" s="46" t="s">
        <v>2762</v>
      </c>
      <c r="E258" s="46"/>
      <c r="F258" s="46" t="s">
        <v>2763</v>
      </c>
      <c r="G258" s="46" t="s">
        <v>1824</v>
      </c>
      <c r="H258" s="46" t="s">
        <v>1162</v>
      </c>
      <c r="I258" s="46" t="s">
        <v>2764</v>
      </c>
      <c r="J258" s="46" t="s">
        <v>2765</v>
      </c>
      <c r="K258" s="46" t="s">
        <v>1130</v>
      </c>
      <c r="L258" s="46" t="s">
        <v>2766</v>
      </c>
      <c r="M258" s="46" t="s">
        <v>2034</v>
      </c>
    </row>
    <row r="259" customFormat="false" ht="18" hidden="false" customHeight="true" outlineLevel="0" collapsed="false">
      <c r="A259" s="45" t="s">
        <v>2767</v>
      </c>
      <c r="B259" s="46" t="s">
        <v>164</v>
      </c>
      <c r="C259" s="46" t="s">
        <v>2768</v>
      </c>
      <c r="D259" s="46" t="s">
        <v>1583</v>
      </c>
      <c r="E259" s="46" t="s">
        <v>451</v>
      </c>
      <c r="F259" s="46" t="s">
        <v>2769</v>
      </c>
      <c r="G259" s="46" t="s">
        <v>1695</v>
      </c>
      <c r="H259" s="46" t="s">
        <v>82</v>
      </c>
      <c r="I259" s="46" t="s">
        <v>2770</v>
      </c>
      <c r="J259" s="46" t="s">
        <v>2771</v>
      </c>
      <c r="K259" s="46" t="s">
        <v>1224</v>
      </c>
      <c r="L259" s="46" t="s">
        <v>2772</v>
      </c>
      <c r="M259" s="46" t="s">
        <v>1851</v>
      </c>
    </row>
    <row r="260" customFormat="false" ht="18" hidden="false" customHeight="true" outlineLevel="0" collapsed="false">
      <c r="A260" s="45" t="s">
        <v>2773</v>
      </c>
      <c r="B260" s="46" t="s">
        <v>164</v>
      </c>
      <c r="C260" s="46" t="s">
        <v>2774</v>
      </c>
      <c r="D260" s="46" t="s">
        <v>2775</v>
      </c>
      <c r="E260" s="46" t="s">
        <v>2776</v>
      </c>
      <c r="F260" s="46" t="s">
        <v>2777</v>
      </c>
      <c r="G260" s="46" t="s">
        <v>2399</v>
      </c>
      <c r="H260" s="46" t="s">
        <v>80</v>
      </c>
      <c r="I260" s="46" t="s">
        <v>2778</v>
      </c>
      <c r="J260" s="46" t="s">
        <v>2779</v>
      </c>
      <c r="K260" s="46" t="s">
        <v>1140</v>
      </c>
      <c r="L260" s="46" t="s">
        <v>2780</v>
      </c>
      <c r="M260" s="46" t="s">
        <v>1851</v>
      </c>
    </row>
    <row r="261" customFormat="false" ht="18" hidden="false" customHeight="true" outlineLevel="0" collapsed="false">
      <c r="A261" s="45" t="s">
        <v>2781</v>
      </c>
      <c r="B261" s="46" t="s">
        <v>164</v>
      </c>
      <c r="C261" s="46" t="s">
        <v>2782</v>
      </c>
      <c r="D261" s="46" t="s">
        <v>2783</v>
      </c>
      <c r="E261" s="46" t="s">
        <v>2784</v>
      </c>
      <c r="F261" s="46"/>
      <c r="G261" s="46" t="s">
        <v>1824</v>
      </c>
      <c r="H261" s="46" t="s">
        <v>79</v>
      </c>
      <c r="I261" s="46" t="s">
        <v>2653</v>
      </c>
      <c r="J261" s="46" t="s">
        <v>2653</v>
      </c>
      <c r="K261" s="46" t="s">
        <v>1140</v>
      </c>
      <c r="L261" s="46" t="s">
        <v>2785</v>
      </c>
      <c r="M261" s="46" t="s">
        <v>2034</v>
      </c>
    </row>
    <row r="262" customFormat="false" ht="18" hidden="false" customHeight="true" outlineLevel="0" collapsed="false">
      <c r="A262" s="45" t="s">
        <v>2786</v>
      </c>
      <c r="B262" s="46" t="s">
        <v>164</v>
      </c>
      <c r="C262" s="46" t="s">
        <v>2787</v>
      </c>
      <c r="D262" s="46" t="s">
        <v>1542</v>
      </c>
      <c r="E262" s="46" t="s">
        <v>836</v>
      </c>
      <c r="F262" s="46" t="s">
        <v>2788</v>
      </c>
      <c r="G262" s="46" t="s">
        <v>1544</v>
      </c>
      <c r="H262" s="46" t="s">
        <v>1162</v>
      </c>
      <c r="I262" s="46" t="s">
        <v>2789</v>
      </c>
      <c r="J262" s="46" t="s">
        <v>2790</v>
      </c>
      <c r="K262" s="46" t="s">
        <v>1513</v>
      </c>
      <c r="L262" s="46" t="s">
        <v>2791</v>
      </c>
      <c r="M262" s="46" t="s">
        <v>1851</v>
      </c>
    </row>
    <row r="263" customFormat="false" ht="18" hidden="false" customHeight="true" outlineLevel="0" collapsed="false">
      <c r="A263" s="45" t="s">
        <v>797</v>
      </c>
      <c r="B263" s="46" t="s">
        <v>164</v>
      </c>
      <c r="C263" s="46" t="s">
        <v>2792</v>
      </c>
      <c r="D263" s="46" t="s">
        <v>2793</v>
      </c>
      <c r="E263" s="46"/>
      <c r="F263" s="46" t="s">
        <v>2794</v>
      </c>
      <c r="G263" s="46" t="s">
        <v>1544</v>
      </c>
      <c r="H263" s="46" t="s">
        <v>1137</v>
      </c>
      <c r="I263" s="46" t="s">
        <v>2795</v>
      </c>
      <c r="J263" s="46" t="s">
        <v>2796</v>
      </c>
      <c r="K263" s="46" t="s">
        <v>1123</v>
      </c>
      <c r="L263" s="46" t="s">
        <v>2797</v>
      </c>
      <c r="M263" s="46" t="s">
        <v>1140</v>
      </c>
    </row>
    <row r="264" customFormat="false" ht="18" hidden="false" customHeight="true" outlineLevel="0" collapsed="false">
      <c r="A264" s="45" t="s">
        <v>1059</v>
      </c>
      <c r="B264" s="46" t="s">
        <v>164</v>
      </c>
      <c r="C264" s="46" t="s">
        <v>2798</v>
      </c>
      <c r="D264" s="46" t="s">
        <v>2799</v>
      </c>
      <c r="E264" s="46" t="s">
        <v>1057</v>
      </c>
      <c r="F264" s="46" t="s">
        <v>2800</v>
      </c>
      <c r="G264" s="46" t="s">
        <v>128</v>
      </c>
      <c r="H264" s="46" t="s">
        <v>1137</v>
      </c>
      <c r="I264" s="46" t="s">
        <v>2692</v>
      </c>
      <c r="J264" s="46" t="s">
        <v>2801</v>
      </c>
      <c r="K264" s="46" t="s">
        <v>1108</v>
      </c>
      <c r="L264" s="46" t="s">
        <v>2802</v>
      </c>
      <c r="M264" s="46" t="s">
        <v>1851</v>
      </c>
    </row>
    <row r="265" customFormat="false" ht="18" hidden="false" customHeight="true" outlineLevel="0" collapsed="false">
      <c r="A265" s="45" t="s">
        <v>2803</v>
      </c>
      <c r="B265" s="46" t="s">
        <v>164</v>
      </c>
      <c r="C265" s="46" t="s">
        <v>2804</v>
      </c>
      <c r="D265" s="46" t="s">
        <v>1362</v>
      </c>
      <c r="E265" s="46" t="s">
        <v>372</v>
      </c>
      <c r="F265" s="46" t="s">
        <v>2805</v>
      </c>
      <c r="G265" s="46" t="s">
        <v>1695</v>
      </c>
      <c r="H265" s="46" t="s">
        <v>1585</v>
      </c>
      <c r="I265" s="46" t="s">
        <v>2806</v>
      </c>
      <c r="J265" s="46" t="s">
        <v>2807</v>
      </c>
      <c r="K265" s="46" t="s">
        <v>1130</v>
      </c>
      <c r="L265" s="46" t="s">
        <v>2808</v>
      </c>
      <c r="M265" s="46" t="s">
        <v>1851</v>
      </c>
    </row>
    <row r="266" customFormat="false" ht="18" hidden="false" customHeight="true" outlineLevel="0" collapsed="false">
      <c r="A266" s="45" t="s">
        <v>694</v>
      </c>
      <c r="B266" s="46" t="s">
        <v>164</v>
      </c>
      <c r="C266" s="46" t="s">
        <v>2809</v>
      </c>
      <c r="D266" s="46" t="s">
        <v>2810</v>
      </c>
      <c r="E266" s="46"/>
      <c r="F266" s="46" t="s">
        <v>2811</v>
      </c>
      <c r="G266" s="46" t="s">
        <v>163</v>
      </c>
      <c r="H266" s="46" t="s">
        <v>79</v>
      </c>
      <c r="I266" s="46" t="s">
        <v>2812</v>
      </c>
      <c r="J266" s="46" t="s">
        <v>2813</v>
      </c>
      <c r="K266" s="46" t="s">
        <v>1224</v>
      </c>
      <c r="L266" s="46" t="s">
        <v>2814</v>
      </c>
      <c r="M266" s="46" t="s">
        <v>2395</v>
      </c>
    </row>
    <row r="267" customFormat="false" ht="18" hidden="false" customHeight="true" outlineLevel="0" collapsed="false">
      <c r="A267" s="45" t="s">
        <v>2815</v>
      </c>
      <c r="B267" s="46" t="s">
        <v>164</v>
      </c>
      <c r="C267" s="46" t="s">
        <v>2816</v>
      </c>
      <c r="D267" s="46" t="s">
        <v>2817</v>
      </c>
      <c r="E267" s="46" t="s">
        <v>2818</v>
      </c>
      <c r="F267" s="46" t="s">
        <v>2819</v>
      </c>
      <c r="G267" s="46" t="s">
        <v>84</v>
      </c>
      <c r="H267" s="46" t="s">
        <v>84</v>
      </c>
      <c r="I267" s="46" t="s">
        <v>2820</v>
      </c>
      <c r="J267" s="46" t="s">
        <v>2821</v>
      </c>
      <c r="K267" s="46" t="s">
        <v>1140</v>
      </c>
      <c r="L267" s="46" t="s">
        <v>2822</v>
      </c>
      <c r="M267" s="46" t="s">
        <v>1140</v>
      </c>
    </row>
    <row r="268" customFormat="false" ht="18" hidden="false" customHeight="true" outlineLevel="0" collapsed="false">
      <c r="A268" s="45" t="s">
        <v>898</v>
      </c>
      <c r="B268" s="46" t="s">
        <v>164</v>
      </c>
      <c r="C268" s="46" t="s">
        <v>2823</v>
      </c>
      <c r="D268" s="46" t="s">
        <v>2824</v>
      </c>
      <c r="E268" s="46" t="s">
        <v>896</v>
      </c>
      <c r="F268" s="46" t="s">
        <v>2825</v>
      </c>
      <c r="G268" s="46" t="s">
        <v>1201</v>
      </c>
      <c r="H268" s="46" t="s">
        <v>1137</v>
      </c>
      <c r="I268" s="46" t="s">
        <v>2826</v>
      </c>
      <c r="J268" s="46" t="s">
        <v>2459</v>
      </c>
      <c r="K268" s="46" t="s">
        <v>1272</v>
      </c>
      <c r="L268" s="46" t="s">
        <v>2827</v>
      </c>
      <c r="M268" s="46" t="s">
        <v>1851</v>
      </c>
    </row>
    <row r="269" customFormat="false" ht="18" hidden="false" customHeight="true" outlineLevel="0" collapsed="false">
      <c r="A269" s="45" t="s">
        <v>2828</v>
      </c>
      <c r="B269" s="46" t="s">
        <v>164</v>
      </c>
      <c r="C269" s="46" t="s">
        <v>2829</v>
      </c>
      <c r="D269" s="46" t="s">
        <v>2830</v>
      </c>
      <c r="E269" s="46" t="s">
        <v>700</v>
      </c>
      <c r="F269" s="46" t="s">
        <v>2831</v>
      </c>
      <c r="G269" s="46" t="s">
        <v>1146</v>
      </c>
      <c r="H269" s="46" t="s">
        <v>1257</v>
      </c>
      <c r="I269" s="46" t="s">
        <v>2832</v>
      </c>
      <c r="J269" s="46" t="s">
        <v>2833</v>
      </c>
      <c r="K269" s="46" t="s">
        <v>1130</v>
      </c>
      <c r="L269" s="46" t="s">
        <v>2834</v>
      </c>
      <c r="M269" s="46" t="s">
        <v>1851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1417"/>
    <pageSetUpPr fitToPage="true"/>
  </sheetPr>
  <dimension ref="A1:G16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32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8" t="s">
        <v>2835</v>
      </c>
      <c r="B1" s="8" t="s">
        <v>1098</v>
      </c>
      <c r="C1" s="8" t="s">
        <v>1099</v>
      </c>
      <c r="D1" s="8" t="s">
        <v>2836</v>
      </c>
      <c r="E1" s="8" t="s">
        <v>2837</v>
      </c>
      <c r="F1" s="8" t="s">
        <v>2838</v>
      </c>
      <c r="G1" s="8" t="s">
        <v>2839</v>
      </c>
    </row>
    <row r="2" customFormat="false" ht="18" hidden="false" customHeight="true" outlineLevel="0" collapsed="false">
      <c r="A2" s="47" t="n">
        <v>1</v>
      </c>
      <c r="B2" s="39" t="s">
        <v>511</v>
      </c>
      <c r="C2" s="39" t="s">
        <v>1102</v>
      </c>
      <c r="D2" s="39" t="s">
        <v>2840</v>
      </c>
      <c r="E2" s="48" t="s">
        <v>1103</v>
      </c>
      <c r="F2" s="49" t="s">
        <v>2841</v>
      </c>
      <c r="G2" s="39" t="s">
        <v>2842</v>
      </c>
    </row>
    <row r="3" customFormat="false" ht="18" hidden="false" customHeight="true" outlineLevel="0" collapsed="false">
      <c r="A3" s="47" t="n">
        <v>2</v>
      </c>
      <c r="B3" s="39" t="s">
        <v>511</v>
      </c>
      <c r="C3" s="39" t="s">
        <v>1102</v>
      </c>
      <c r="D3" s="39" t="s">
        <v>101</v>
      </c>
      <c r="E3" s="48" t="s">
        <v>1104</v>
      </c>
      <c r="F3" s="49" t="s">
        <v>510</v>
      </c>
      <c r="G3" s="39" t="s">
        <v>2843</v>
      </c>
    </row>
    <row r="4" customFormat="false" ht="18" hidden="false" customHeight="true" outlineLevel="0" collapsed="false">
      <c r="A4" s="47" t="n">
        <v>3</v>
      </c>
      <c r="B4" s="39" t="s">
        <v>511</v>
      </c>
      <c r="C4" s="39" t="s">
        <v>1102</v>
      </c>
      <c r="D4" s="39" t="s">
        <v>102</v>
      </c>
      <c r="E4" s="48" t="s">
        <v>1105</v>
      </c>
      <c r="F4" s="49" t="s">
        <v>239</v>
      </c>
      <c r="G4" s="39" t="s">
        <v>2844</v>
      </c>
    </row>
    <row r="5" customFormat="false" ht="18" hidden="false" customHeight="true" outlineLevel="0" collapsed="false">
      <c r="A5" s="47" t="n">
        <v>4</v>
      </c>
      <c r="B5" s="39" t="s">
        <v>511</v>
      </c>
      <c r="C5" s="39" t="s">
        <v>1102</v>
      </c>
      <c r="D5" s="39" t="s">
        <v>2845</v>
      </c>
      <c r="E5" s="48" t="s">
        <v>1106</v>
      </c>
      <c r="F5" s="49" t="s">
        <v>2846</v>
      </c>
      <c r="G5" s="39" t="s">
        <v>2847</v>
      </c>
    </row>
    <row r="6" customFormat="false" ht="18" hidden="false" customHeight="true" outlineLevel="0" collapsed="false">
      <c r="A6" s="47" t="n">
        <v>5</v>
      </c>
      <c r="B6" s="39" t="s">
        <v>511</v>
      </c>
      <c r="C6" s="39" t="s">
        <v>1102</v>
      </c>
      <c r="D6" s="39" t="s">
        <v>2848</v>
      </c>
      <c r="E6" s="48" t="s">
        <v>1107</v>
      </c>
      <c r="F6" s="49" t="s">
        <v>2849</v>
      </c>
      <c r="G6" s="39" t="s">
        <v>2847</v>
      </c>
    </row>
    <row r="7" customFormat="false" ht="18" hidden="false" customHeight="true" outlineLevel="0" collapsed="false">
      <c r="A7" s="47" t="n">
        <v>6</v>
      </c>
      <c r="B7" s="39" t="s">
        <v>511</v>
      </c>
      <c r="C7" s="39" t="s">
        <v>1102</v>
      </c>
      <c r="D7" s="39" t="s">
        <v>2850</v>
      </c>
      <c r="E7" s="48" t="s">
        <v>1109</v>
      </c>
      <c r="F7" s="49" t="s">
        <v>2851</v>
      </c>
      <c r="G7" s="39" t="s">
        <v>2852</v>
      </c>
    </row>
    <row r="8" customFormat="false" ht="18" hidden="false" customHeight="true" outlineLevel="0" collapsed="false">
      <c r="A8" s="47" t="n">
        <v>7</v>
      </c>
      <c r="B8" s="39" t="s">
        <v>511</v>
      </c>
      <c r="C8" s="39" t="s">
        <v>1102</v>
      </c>
      <c r="D8" s="39" t="s">
        <v>109</v>
      </c>
      <c r="E8" s="48" t="s">
        <v>1110</v>
      </c>
      <c r="F8" s="49" t="s">
        <v>151</v>
      </c>
      <c r="G8" s="39" t="s">
        <v>2853</v>
      </c>
    </row>
    <row r="9" customFormat="false" ht="18" hidden="false" customHeight="true" outlineLevel="0" collapsed="false">
      <c r="A9" s="47" t="n">
        <v>8</v>
      </c>
      <c r="B9" s="39" t="s">
        <v>296</v>
      </c>
      <c r="C9" s="39" t="s">
        <v>1111</v>
      </c>
      <c r="D9" s="39" t="s">
        <v>101</v>
      </c>
      <c r="E9" s="48" t="s">
        <v>1113</v>
      </c>
      <c r="F9" s="49" t="s">
        <v>294</v>
      </c>
      <c r="G9" s="39" t="s">
        <v>2843</v>
      </c>
    </row>
    <row r="10" customFormat="false" ht="18" hidden="false" customHeight="true" outlineLevel="0" collapsed="false">
      <c r="A10" s="47" t="n">
        <v>9</v>
      </c>
      <c r="B10" s="39" t="s">
        <v>296</v>
      </c>
      <c r="C10" s="39" t="s">
        <v>1111</v>
      </c>
      <c r="D10" s="39" t="s">
        <v>2845</v>
      </c>
      <c r="E10" s="48" t="s">
        <v>1114</v>
      </c>
      <c r="F10" s="49" t="s">
        <v>2854</v>
      </c>
      <c r="G10" s="39" t="s">
        <v>2847</v>
      </c>
    </row>
    <row r="11" customFormat="false" ht="18" hidden="false" customHeight="true" outlineLevel="0" collapsed="false">
      <c r="A11" s="47" t="n">
        <v>10</v>
      </c>
      <c r="B11" s="39" t="s">
        <v>296</v>
      </c>
      <c r="C11" s="39" t="s">
        <v>1111</v>
      </c>
      <c r="D11" s="39" t="s">
        <v>2848</v>
      </c>
      <c r="E11" s="48" t="s">
        <v>1115</v>
      </c>
      <c r="F11" s="49" t="s">
        <v>2855</v>
      </c>
      <c r="G11" s="39" t="s">
        <v>2847</v>
      </c>
    </row>
    <row r="12" customFormat="false" ht="18" hidden="false" customHeight="true" outlineLevel="0" collapsed="false">
      <c r="A12" s="47" t="n">
        <v>11</v>
      </c>
      <c r="B12" s="39" t="s">
        <v>296</v>
      </c>
      <c r="C12" s="39" t="s">
        <v>1111</v>
      </c>
      <c r="D12" s="39" t="s">
        <v>2850</v>
      </c>
      <c r="E12" s="48" t="s">
        <v>1117</v>
      </c>
      <c r="F12" s="49" t="s">
        <v>2856</v>
      </c>
      <c r="G12" s="39" t="s">
        <v>2852</v>
      </c>
    </row>
    <row r="13" customFormat="false" ht="18" hidden="false" customHeight="true" outlineLevel="0" collapsed="false">
      <c r="A13" s="47" t="n">
        <v>12</v>
      </c>
      <c r="B13" s="39" t="s">
        <v>296</v>
      </c>
      <c r="C13" s="39" t="s">
        <v>1111</v>
      </c>
      <c r="D13" s="39" t="s">
        <v>109</v>
      </c>
      <c r="E13" s="48" t="s">
        <v>1110</v>
      </c>
      <c r="F13" s="49" t="s">
        <v>151</v>
      </c>
      <c r="G13" s="39" t="s">
        <v>2853</v>
      </c>
    </row>
    <row r="14" customFormat="false" ht="18" hidden="false" customHeight="true" outlineLevel="0" collapsed="false">
      <c r="A14" s="47" t="n">
        <v>13</v>
      </c>
      <c r="B14" s="39" t="s">
        <v>276</v>
      </c>
      <c r="C14" s="39" t="s">
        <v>1118</v>
      </c>
      <c r="D14" s="39" t="s">
        <v>101</v>
      </c>
      <c r="E14" s="48" t="s">
        <v>1120</v>
      </c>
      <c r="F14" s="49" t="s">
        <v>275</v>
      </c>
      <c r="G14" s="39" t="s">
        <v>2843</v>
      </c>
    </row>
    <row r="15" customFormat="false" ht="18" hidden="false" customHeight="true" outlineLevel="0" collapsed="false">
      <c r="A15" s="47" t="n">
        <v>14</v>
      </c>
      <c r="B15" s="39" t="s">
        <v>276</v>
      </c>
      <c r="C15" s="39" t="s">
        <v>1118</v>
      </c>
      <c r="D15" s="39" t="s">
        <v>2845</v>
      </c>
      <c r="E15" s="48" t="s">
        <v>1121</v>
      </c>
      <c r="F15" s="49" t="s">
        <v>2857</v>
      </c>
      <c r="G15" s="39" t="s">
        <v>2847</v>
      </c>
    </row>
    <row r="16" customFormat="false" ht="18" hidden="false" customHeight="true" outlineLevel="0" collapsed="false">
      <c r="A16" s="47" t="n">
        <v>15</v>
      </c>
      <c r="B16" s="39" t="s">
        <v>276</v>
      </c>
      <c r="C16" s="39" t="s">
        <v>1118</v>
      </c>
      <c r="D16" s="39" t="s">
        <v>2848</v>
      </c>
      <c r="E16" s="48" t="s">
        <v>1122</v>
      </c>
      <c r="F16" s="49" t="s">
        <v>2858</v>
      </c>
      <c r="G16" s="39" t="s">
        <v>2847</v>
      </c>
    </row>
    <row r="17" customFormat="false" ht="18" hidden="false" customHeight="true" outlineLevel="0" collapsed="false">
      <c r="A17" s="47" t="n">
        <v>16</v>
      </c>
      <c r="B17" s="39" t="s">
        <v>276</v>
      </c>
      <c r="C17" s="39" t="s">
        <v>1118</v>
      </c>
      <c r="D17" s="39" t="s">
        <v>2850</v>
      </c>
      <c r="E17" s="48" t="s">
        <v>1124</v>
      </c>
      <c r="F17" s="49" t="s">
        <v>2859</v>
      </c>
      <c r="G17" s="39" t="s">
        <v>2852</v>
      </c>
    </row>
    <row r="18" customFormat="false" ht="18" hidden="false" customHeight="true" outlineLevel="0" collapsed="false">
      <c r="A18" s="47" t="n">
        <v>17</v>
      </c>
      <c r="B18" s="39" t="s">
        <v>276</v>
      </c>
      <c r="C18" s="39" t="s">
        <v>1118</v>
      </c>
      <c r="D18" s="39" t="s">
        <v>109</v>
      </c>
      <c r="E18" s="48" t="s">
        <v>1110</v>
      </c>
      <c r="F18" s="49" t="s">
        <v>151</v>
      </c>
      <c r="G18" s="39" t="s">
        <v>2853</v>
      </c>
    </row>
    <row r="19" customFormat="false" ht="18" hidden="false" customHeight="true" outlineLevel="0" collapsed="false">
      <c r="A19" s="47" t="n">
        <v>18</v>
      </c>
      <c r="B19" s="39" t="s">
        <v>782</v>
      </c>
      <c r="C19" s="39" t="s">
        <v>1125</v>
      </c>
      <c r="D19" s="39" t="s">
        <v>101</v>
      </c>
      <c r="E19" s="48" t="s">
        <v>1127</v>
      </c>
      <c r="F19" s="49" t="s">
        <v>781</v>
      </c>
      <c r="G19" s="39" t="s">
        <v>2843</v>
      </c>
    </row>
    <row r="20" customFormat="false" ht="18" hidden="false" customHeight="true" outlineLevel="0" collapsed="false">
      <c r="A20" s="47" t="n">
        <v>19</v>
      </c>
      <c r="B20" s="39" t="s">
        <v>782</v>
      </c>
      <c r="C20" s="39" t="s">
        <v>1125</v>
      </c>
      <c r="D20" s="39" t="s">
        <v>2845</v>
      </c>
      <c r="E20" s="48" t="s">
        <v>1128</v>
      </c>
      <c r="F20" s="49" t="s">
        <v>2860</v>
      </c>
      <c r="G20" s="39" t="s">
        <v>2847</v>
      </c>
    </row>
    <row r="21" customFormat="false" ht="18" hidden="false" customHeight="true" outlineLevel="0" collapsed="false">
      <c r="A21" s="47" t="n">
        <v>20</v>
      </c>
      <c r="B21" s="39" t="s">
        <v>782</v>
      </c>
      <c r="C21" s="39" t="s">
        <v>1125</v>
      </c>
      <c r="D21" s="39" t="s">
        <v>2848</v>
      </c>
      <c r="E21" s="48" t="s">
        <v>1129</v>
      </c>
      <c r="F21" s="49" t="s">
        <v>2861</v>
      </c>
      <c r="G21" s="39" t="s">
        <v>2847</v>
      </c>
    </row>
    <row r="22" customFormat="false" ht="18" hidden="false" customHeight="true" outlineLevel="0" collapsed="false">
      <c r="A22" s="47" t="n">
        <v>21</v>
      </c>
      <c r="B22" s="39" t="s">
        <v>782</v>
      </c>
      <c r="C22" s="39" t="s">
        <v>1125</v>
      </c>
      <c r="D22" s="39" t="s">
        <v>2850</v>
      </c>
      <c r="E22" s="48" t="s">
        <v>1131</v>
      </c>
      <c r="F22" s="49" t="s">
        <v>2862</v>
      </c>
      <c r="G22" s="39" t="s">
        <v>2852</v>
      </c>
    </row>
    <row r="23" customFormat="false" ht="18" hidden="false" customHeight="true" outlineLevel="0" collapsed="false">
      <c r="A23" s="47" t="n">
        <v>22</v>
      </c>
      <c r="B23" s="39" t="s">
        <v>782</v>
      </c>
      <c r="C23" s="39" t="s">
        <v>1125</v>
      </c>
      <c r="D23" s="39" t="s">
        <v>109</v>
      </c>
      <c r="E23" s="48" t="s">
        <v>1132</v>
      </c>
      <c r="F23" s="49" t="s">
        <v>130</v>
      </c>
      <c r="G23" s="39" t="s">
        <v>2853</v>
      </c>
    </row>
    <row r="24" customFormat="false" ht="18" hidden="false" customHeight="true" outlineLevel="0" collapsed="false">
      <c r="A24" s="47" t="n">
        <v>23</v>
      </c>
      <c r="B24" s="39" t="s">
        <v>1133</v>
      </c>
      <c r="C24" s="39" t="s">
        <v>1134</v>
      </c>
      <c r="D24" s="39" t="s">
        <v>101</v>
      </c>
      <c r="E24" s="48" t="s">
        <v>1136</v>
      </c>
      <c r="F24" s="49" t="s">
        <v>181</v>
      </c>
      <c r="G24" s="39" t="s">
        <v>2843</v>
      </c>
    </row>
    <row r="25" customFormat="false" ht="18" hidden="false" customHeight="true" outlineLevel="0" collapsed="false">
      <c r="A25" s="47" t="n">
        <v>24</v>
      </c>
      <c r="B25" s="39" t="s">
        <v>1133</v>
      </c>
      <c r="C25" s="39" t="s">
        <v>1134</v>
      </c>
      <c r="D25" s="39" t="s">
        <v>77</v>
      </c>
      <c r="E25" s="48" t="s">
        <v>1137</v>
      </c>
      <c r="F25" s="49" t="s">
        <v>79</v>
      </c>
      <c r="G25" s="39" t="s">
        <v>2863</v>
      </c>
    </row>
    <row r="26" customFormat="false" ht="18" hidden="false" customHeight="true" outlineLevel="0" collapsed="false">
      <c r="A26" s="47" t="n">
        <v>25</v>
      </c>
      <c r="B26" s="39" t="s">
        <v>1133</v>
      </c>
      <c r="C26" s="39" t="s">
        <v>1134</v>
      </c>
      <c r="D26" s="39" t="s">
        <v>2845</v>
      </c>
      <c r="E26" s="48" t="s">
        <v>1138</v>
      </c>
      <c r="F26" s="49" t="s">
        <v>2864</v>
      </c>
      <c r="G26" s="39" t="s">
        <v>2847</v>
      </c>
    </row>
    <row r="27" customFormat="false" ht="18" hidden="false" customHeight="true" outlineLevel="0" collapsed="false">
      <c r="A27" s="47" t="n">
        <v>26</v>
      </c>
      <c r="B27" s="39" t="s">
        <v>1133</v>
      </c>
      <c r="C27" s="39" t="s">
        <v>1134</v>
      </c>
      <c r="D27" s="39" t="s">
        <v>2848</v>
      </c>
      <c r="E27" s="48" t="s">
        <v>1139</v>
      </c>
      <c r="F27" s="49" t="s">
        <v>2865</v>
      </c>
      <c r="G27" s="39" t="s">
        <v>2847</v>
      </c>
    </row>
    <row r="28" customFormat="false" ht="18" hidden="false" customHeight="true" outlineLevel="0" collapsed="false">
      <c r="A28" s="47" t="n">
        <v>27</v>
      </c>
      <c r="B28" s="39" t="s">
        <v>1133</v>
      </c>
      <c r="C28" s="39" t="s">
        <v>1134</v>
      </c>
      <c r="D28" s="39" t="s">
        <v>2850</v>
      </c>
      <c r="E28" s="48" t="s">
        <v>1141</v>
      </c>
      <c r="F28" s="49" t="s">
        <v>2866</v>
      </c>
      <c r="G28" s="39" t="s">
        <v>2852</v>
      </c>
    </row>
    <row r="29" customFormat="false" ht="18" hidden="false" customHeight="true" outlineLevel="0" collapsed="false">
      <c r="A29" s="47" t="n">
        <v>28</v>
      </c>
      <c r="B29" s="39" t="s">
        <v>1133</v>
      </c>
      <c r="C29" s="39" t="s">
        <v>1134</v>
      </c>
      <c r="D29" s="39" t="s">
        <v>109</v>
      </c>
      <c r="E29" s="48" t="s">
        <v>1110</v>
      </c>
      <c r="F29" s="49" t="s">
        <v>151</v>
      </c>
      <c r="G29" s="39" t="s">
        <v>2853</v>
      </c>
    </row>
    <row r="30" customFormat="false" ht="18" hidden="false" customHeight="true" outlineLevel="0" collapsed="false">
      <c r="A30" s="47" t="n">
        <v>29</v>
      </c>
      <c r="B30" s="39" t="s">
        <v>1142</v>
      </c>
      <c r="C30" s="39" t="s">
        <v>1143</v>
      </c>
      <c r="D30" s="39" t="s">
        <v>2840</v>
      </c>
      <c r="E30" s="48" t="s">
        <v>1144</v>
      </c>
      <c r="F30" s="49" t="s">
        <v>1999</v>
      </c>
      <c r="G30" s="39" t="s">
        <v>2842</v>
      </c>
    </row>
    <row r="31" customFormat="false" ht="18" hidden="false" customHeight="true" outlineLevel="0" collapsed="false">
      <c r="A31" s="47" t="n">
        <v>30</v>
      </c>
      <c r="B31" s="39" t="s">
        <v>1142</v>
      </c>
      <c r="C31" s="39" t="s">
        <v>1143</v>
      </c>
      <c r="D31" s="39" t="s">
        <v>101</v>
      </c>
      <c r="E31" s="48" t="s">
        <v>1145</v>
      </c>
      <c r="F31" s="49" t="s">
        <v>422</v>
      </c>
      <c r="G31" s="39" t="s">
        <v>2843</v>
      </c>
    </row>
    <row r="32" customFormat="false" ht="18" hidden="false" customHeight="true" outlineLevel="0" collapsed="false">
      <c r="A32" s="47" t="n">
        <v>31</v>
      </c>
      <c r="B32" s="39" t="s">
        <v>1142</v>
      </c>
      <c r="C32" s="39" t="s">
        <v>1143</v>
      </c>
      <c r="D32" s="39" t="s">
        <v>102</v>
      </c>
      <c r="E32" s="48" t="s">
        <v>1146</v>
      </c>
      <c r="F32" s="49" t="s">
        <v>137</v>
      </c>
      <c r="G32" s="39" t="s">
        <v>2844</v>
      </c>
    </row>
    <row r="33" customFormat="false" ht="18" hidden="false" customHeight="true" outlineLevel="0" collapsed="false">
      <c r="A33" s="47" t="n">
        <v>32</v>
      </c>
      <c r="B33" s="39" t="s">
        <v>1142</v>
      </c>
      <c r="C33" s="39" t="s">
        <v>1143</v>
      </c>
      <c r="D33" s="39" t="s">
        <v>2845</v>
      </c>
      <c r="E33" s="48" t="s">
        <v>1147</v>
      </c>
      <c r="F33" s="49" t="s">
        <v>2867</v>
      </c>
      <c r="G33" s="39" t="s">
        <v>2847</v>
      </c>
    </row>
    <row r="34" customFormat="false" ht="18" hidden="false" customHeight="true" outlineLevel="0" collapsed="false">
      <c r="A34" s="47" t="n">
        <v>33</v>
      </c>
      <c r="B34" s="39" t="s">
        <v>1142</v>
      </c>
      <c r="C34" s="39" t="s">
        <v>1143</v>
      </c>
      <c r="D34" s="39" t="s">
        <v>2848</v>
      </c>
      <c r="E34" s="48" t="s">
        <v>1148</v>
      </c>
      <c r="F34" s="49" t="s">
        <v>2868</v>
      </c>
      <c r="G34" s="39" t="s">
        <v>2847</v>
      </c>
    </row>
    <row r="35" customFormat="false" ht="18" hidden="false" customHeight="true" outlineLevel="0" collapsed="false">
      <c r="A35" s="47" t="n">
        <v>34</v>
      </c>
      <c r="B35" s="39" t="s">
        <v>1142</v>
      </c>
      <c r="C35" s="39" t="s">
        <v>1143</v>
      </c>
      <c r="D35" s="39" t="s">
        <v>2850</v>
      </c>
      <c r="E35" s="48" t="s">
        <v>1150</v>
      </c>
      <c r="F35" s="49" t="s">
        <v>2869</v>
      </c>
      <c r="G35" s="39" t="s">
        <v>2852</v>
      </c>
    </row>
    <row r="36" customFormat="false" ht="18" hidden="false" customHeight="true" outlineLevel="0" collapsed="false">
      <c r="A36" s="47" t="n">
        <v>35</v>
      </c>
      <c r="B36" s="39" t="s">
        <v>1142</v>
      </c>
      <c r="C36" s="39" t="s">
        <v>1143</v>
      </c>
      <c r="D36" s="39" t="s">
        <v>109</v>
      </c>
      <c r="E36" s="48" t="s">
        <v>1110</v>
      </c>
      <c r="F36" s="49" t="s">
        <v>151</v>
      </c>
      <c r="G36" s="39" t="s">
        <v>2853</v>
      </c>
    </row>
    <row r="37" customFormat="false" ht="18" hidden="false" customHeight="true" outlineLevel="0" collapsed="false">
      <c r="A37" s="47" t="n">
        <v>36</v>
      </c>
      <c r="B37" s="39" t="s">
        <v>1151</v>
      </c>
      <c r="C37" s="39" t="s">
        <v>1152</v>
      </c>
      <c r="D37" s="39" t="s">
        <v>100</v>
      </c>
      <c r="E37" s="48" t="s">
        <v>1154</v>
      </c>
      <c r="F37" s="49" t="s">
        <v>487</v>
      </c>
      <c r="G37" s="39" t="s">
        <v>2870</v>
      </c>
    </row>
    <row r="38" customFormat="false" ht="18" hidden="false" customHeight="true" outlineLevel="0" collapsed="false">
      <c r="A38" s="47" t="n">
        <v>37</v>
      </c>
      <c r="B38" s="39" t="s">
        <v>1151</v>
      </c>
      <c r="C38" s="39" t="s">
        <v>1152</v>
      </c>
      <c r="D38" s="39" t="s">
        <v>77</v>
      </c>
      <c r="E38" s="48" t="s">
        <v>1155</v>
      </c>
      <c r="F38" s="49" t="s">
        <v>84</v>
      </c>
      <c r="G38" s="39" t="s">
        <v>2863</v>
      </c>
    </row>
    <row r="39" customFormat="false" ht="18" hidden="false" customHeight="true" outlineLevel="0" collapsed="false">
      <c r="A39" s="47" t="n">
        <v>38</v>
      </c>
      <c r="B39" s="39" t="s">
        <v>1151</v>
      </c>
      <c r="C39" s="39" t="s">
        <v>1152</v>
      </c>
      <c r="D39" s="39" t="s">
        <v>2845</v>
      </c>
      <c r="E39" s="48" t="s">
        <v>1156</v>
      </c>
      <c r="F39" s="49" t="s">
        <v>2871</v>
      </c>
      <c r="G39" s="39" t="s">
        <v>2847</v>
      </c>
    </row>
    <row r="40" customFormat="false" ht="18" hidden="false" customHeight="true" outlineLevel="0" collapsed="false">
      <c r="A40" s="47" t="n">
        <v>39</v>
      </c>
      <c r="B40" s="39" t="s">
        <v>1151</v>
      </c>
      <c r="C40" s="39" t="s">
        <v>1152</v>
      </c>
      <c r="D40" s="39" t="s">
        <v>2848</v>
      </c>
      <c r="E40" s="48" t="s">
        <v>1157</v>
      </c>
      <c r="F40" s="49" t="s">
        <v>2872</v>
      </c>
      <c r="G40" s="39" t="s">
        <v>2847</v>
      </c>
    </row>
    <row r="41" customFormat="false" ht="18" hidden="false" customHeight="true" outlineLevel="0" collapsed="false">
      <c r="A41" s="47" t="n">
        <v>40</v>
      </c>
      <c r="B41" s="39" t="s">
        <v>1151</v>
      </c>
      <c r="C41" s="39" t="s">
        <v>1152</v>
      </c>
      <c r="D41" s="39" t="s">
        <v>2850</v>
      </c>
      <c r="E41" s="48" t="s">
        <v>1159</v>
      </c>
      <c r="F41" s="49" t="s">
        <v>2873</v>
      </c>
      <c r="G41" s="39" t="s">
        <v>2852</v>
      </c>
    </row>
    <row r="42" customFormat="false" ht="18" hidden="false" customHeight="true" outlineLevel="0" collapsed="false">
      <c r="A42" s="47" t="n">
        <v>41</v>
      </c>
      <c r="B42" s="39" t="s">
        <v>1151</v>
      </c>
      <c r="C42" s="39" t="s">
        <v>1152</v>
      </c>
      <c r="D42" s="39" t="s">
        <v>109</v>
      </c>
      <c r="E42" s="48" t="s">
        <v>1110</v>
      </c>
      <c r="F42" s="49" t="s">
        <v>151</v>
      </c>
      <c r="G42" s="39" t="s">
        <v>2853</v>
      </c>
    </row>
    <row r="43" customFormat="false" ht="18" hidden="false" customHeight="true" outlineLevel="0" collapsed="false">
      <c r="A43" s="47" t="n">
        <v>42</v>
      </c>
      <c r="B43" s="39" t="s">
        <v>626</v>
      </c>
      <c r="C43" s="39" t="s">
        <v>1160</v>
      </c>
      <c r="D43" s="39" t="s">
        <v>2840</v>
      </c>
      <c r="E43" s="48" t="s">
        <v>1161</v>
      </c>
      <c r="F43" s="49" t="s">
        <v>2874</v>
      </c>
      <c r="G43" s="39" t="s">
        <v>2842</v>
      </c>
    </row>
    <row r="44" customFormat="false" ht="18" hidden="false" customHeight="true" outlineLevel="0" collapsed="false">
      <c r="A44" s="47" t="n">
        <v>43</v>
      </c>
      <c r="B44" s="39" t="s">
        <v>626</v>
      </c>
      <c r="C44" s="39" t="s">
        <v>1160</v>
      </c>
      <c r="D44" s="39" t="s">
        <v>77</v>
      </c>
      <c r="E44" s="48" t="s">
        <v>1162</v>
      </c>
      <c r="F44" s="49" t="s">
        <v>79</v>
      </c>
      <c r="G44" s="39" t="s">
        <v>2863</v>
      </c>
    </row>
    <row r="45" customFormat="false" ht="18" hidden="false" customHeight="true" outlineLevel="0" collapsed="false">
      <c r="A45" s="47" t="n">
        <v>44</v>
      </c>
      <c r="B45" s="39" t="s">
        <v>626</v>
      </c>
      <c r="C45" s="39" t="s">
        <v>1160</v>
      </c>
      <c r="D45" s="39" t="s">
        <v>2845</v>
      </c>
      <c r="E45" s="48" t="s">
        <v>1163</v>
      </c>
      <c r="F45" s="49" t="s">
        <v>2875</v>
      </c>
      <c r="G45" s="39" t="s">
        <v>2847</v>
      </c>
    </row>
    <row r="46" customFormat="false" ht="18" hidden="false" customHeight="true" outlineLevel="0" collapsed="false">
      <c r="A46" s="47" t="n">
        <v>45</v>
      </c>
      <c r="B46" s="39" t="s">
        <v>626</v>
      </c>
      <c r="C46" s="39" t="s">
        <v>1160</v>
      </c>
      <c r="D46" s="39" t="s">
        <v>2848</v>
      </c>
      <c r="E46" s="48" t="s">
        <v>1164</v>
      </c>
      <c r="F46" s="49" t="s">
        <v>2876</v>
      </c>
      <c r="G46" s="39" t="s">
        <v>2847</v>
      </c>
    </row>
    <row r="47" customFormat="false" ht="18" hidden="false" customHeight="true" outlineLevel="0" collapsed="false">
      <c r="A47" s="47" t="n">
        <v>46</v>
      </c>
      <c r="B47" s="39" t="s">
        <v>626</v>
      </c>
      <c r="C47" s="39" t="s">
        <v>1160</v>
      </c>
      <c r="D47" s="39" t="s">
        <v>2850</v>
      </c>
      <c r="E47" s="48" t="s">
        <v>1166</v>
      </c>
      <c r="F47" s="49" t="s">
        <v>2877</v>
      </c>
      <c r="G47" s="39" t="s">
        <v>2852</v>
      </c>
    </row>
    <row r="48" customFormat="false" ht="18" hidden="false" customHeight="true" outlineLevel="0" collapsed="false">
      <c r="A48" s="47" t="n">
        <v>47</v>
      </c>
      <c r="B48" s="39" t="s">
        <v>626</v>
      </c>
      <c r="C48" s="39" t="s">
        <v>1160</v>
      </c>
      <c r="D48" s="39" t="s">
        <v>109</v>
      </c>
      <c r="E48" s="48" t="s">
        <v>1110</v>
      </c>
      <c r="F48" s="49" t="s">
        <v>151</v>
      </c>
      <c r="G48" s="39" t="s">
        <v>2853</v>
      </c>
    </row>
    <row r="49" customFormat="false" ht="18" hidden="false" customHeight="true" outlineLevel="0" collapsed="false">
      <c r="A49" s="47" t="n">
        <v>48</v>
      </c>
      <c r="B49" s="39" t="s">
        <v>1167</v>
      </c>
      <c r="C49" s="39" t="s">
        <v>1168</v>
      </c>
      <c r="D49" s="39" t="s">
        <v>100</v>
      </c>
      <c r="E49" s="48" t="s">
        <v>1170</v>
      </c>
      <c r="F49" s="49" t="s">
        <v>210</v>
      </c>
      <c r="G49" s="39" t="s">
        <v>2878</v>
      </c>
    </row>
    <row r="50" customFormat="false" ht="18" hidden="false" customHeight="true" outlineLevel="0" collapsed="false">
      <c r="A50" s="47" t="n">
        <v>49</v>
      </c>
      <c r="B50" s="39" t="s">
        <v>1167</v>
      </c>
      <c r="C50" s="39" t="s">
        <v>1168</v>
      </c>
      <c r="D50" s="39" t="s">
        <v>101</v>
      </c>
      <c r="E50" s="48" t="s">
        <v>1171</v>
      </c>
      <c r="F50" s="49" t="s">
        <v>211</v>
      </c>
      <c r="G50" s="39" t="s">
        <v>2843</v>
      </c>
    </row>
    <row r="51" customFormat="false" ht="18" hidden="false" customHeight="true" outlineLevel="0" collapsed="false">
      <c r="A51" s="47" t="n">
        <v>50</v>
      </c>
      <c r="B51" s="39" t="s">
        <v>1167</v>
      </c>
      <c r="C51" s="39" t="s">
        <v>1168</v>
      </c>
      <c r="D51" s="39" t="s">
        <v>102</v>
      </c>
      <c r="E51" s="48" t="s">
        <v>1172</v>
      </c>
      <c r="F51" s="49" t="s">
        <v>128</v>
      </c>
      <c r="G51" s="39" t="s">
        <v>2844</v>
      </c>
    </row>
    <row r="52" customFormat="false" ht="18" hidden="false" customHeight="true" outlineLevel="0" collapsed="false">
      <c r="A52" s="47" t="n">
        <v>51</v>
      </c>
      <c r="B52" s="39" t="s">
        <v>1167</v>
      </c>
      <c r="C52" s="39" t="s">
        <v>1168</v>
      </c>
      <c r="D52" s="39" t="s">
        <v>77</v>
      </c>
      <c r="E52" s="48" t="s">
        <v>1173</v>
      </c>
      <c r="F52" s="49" t="s">
        <v>79</v>
      </c>
      <c r="G52" s="39" t="s">
        <v>2863</v>
      </c>
    </row>
    <row r="53" customFormat="false" ht="18" hidden="false" customHeight="true" outlineLevel="0" collapsed="false">
      <c r="A53" s="47" t="n">
        <v>52</v>
      </c>
      <c r="B53" s="39" t="s">
        <v>1167</v>
      </c>
      <c r="C53" s="39" t="s">
        <v>1168</v>
      </c>
      <c r="D53" s="39" t="s">
        <v>2845</v>
      </c>
      <c r="E53" s="48" t="s">
        <v>1174</v>
      </c>
      <c r="F53" s="49" t="s">
        <v>2879</v>
      </c>
      <c r="G53" s="39" t="s">
        <v>2847</v>
      </c>
    </row>
    <row r="54" customFormat="false" ht="18" hidden="false" customHeight="true" outlineLevel="0" collapsed="false">
      <c r="A54" s="47" t="n">
        <v>53</v>
      </c>
      <c r="B54" s="39" t="s">
        <v>1167</v>
      </c>
      <c r="C54" s="39" t="s">
        <v>1168</v>
      </c>
      <c r="D54" s="39" t="s">
        <v>2848</v>
      </c>
      <c r="E54" s="48" t="s">
        <v>1174</v>
      </c>
      <c r="F54" s="49" t="s">
        <v>2879</v>
      </c>
      <c r="G54" s="39" t="s">
        <v>2847</v>
      </c>
    </row>
    <row r="55" customFormat="false" ht="18" hidden="false" customHeight="true" outlineLevel="0" collapsed="false">
      <c r="A55" s="47" t="n">
        <v>54</v>
      </c>
      <c r="B55" s="39" t="s">
        <v>1167</v>
      </c>
      <c r="C55" s="39" t="s">
        <v>1168</v>
      </c>
      <c r="D55" s="39" t="s">
        <v>2850</v>
      </c>
      <c r="E55" s="48" t="s">
        <v>1175</v>
      </c>
      <c r="F55" s="49" t="s">
        <v>2880</v>
      </c>
      <c r="G55" s="39" t="s">
        <v>2852</v>
      </c>
    </row>
    <row r="56" customFormat="false" ht="18" hidden="false" customHeight="true" outlineLevel="0" collapsed="false">
      <c r="A56" s="47" t="n">
        <v>55</v>
      </c>
      <c r="B56" s="39" t="s">
        <v>1167</v>
      </c>
      <c r="C56" s="39" t="s">
        <v>1168</v>
      </c>
      <c r="D56" s="39" t="s">
        <v>109</v>
      </c>
      <c r="E56" s="48" t="s">
        <v>1110</v>
      </c>
      <c r="F56" s="49" t="s">
        <v>151</v>
      </c>
      <c r="G56" s="39" t="s">
        <v>2853</v>
      </c>
    </row>
    <row r="57" customFormat="false" ht="18" hidden="false" customHeight="true" outlineLevel="0" collapsed="false">
      <c r="A57" s="47" t="n">
        <v>56</v>
      </c>
      <c r="B57" s="39" t="s">
        <v>494</v>
      </c>
      <c r="C57" s="39" t="s">
        <v>1176</v>
      </c>
      <c r="D57" s="39" t="s">
        <v>101</v>
      </c>
      <c r="E57" s="48" t="s">
        <v>1178</v>
      </c>
      <c r="F57" s="49" t="s">
        <v>493</v>
      </c>
      <c r="G57" s="39" t="s">
        <v>2843</v>
      </c>
    </row>
    <row r="58" customFormat="false" ht="18" hidden="false" customHeight="true" outlineLevel="0" collapsed="false">
      <c r="A58" s="47" t="n">
        <v>57</v>
      </c>
      <c r="B58" s="39" t="s">
        <v>494</v>
      </c>
      <c r="C58" s="39" t="s">
        <v>1176</v>
      </c>
      <c r="D58" s="39" t="s">
        <v>102</v>
      </c>
      <c r="E58" s="48" t="s">
        <v>1179</v>
      </c>
      <c r="F58" s="49" t="s">
        <v>150</v>
      </c>
      <c r="G58" s="39" t="s">
        <v>2844</v>
      </c>
    </row>
    <row r="59" customFormat="false" ht="18" hidden="false" customHeight="true" outlineLevel="0" collapsed="false">
      <c r="A59" s="47" t="n">
        <v>58</v>
      </c>
      <c r="B59" s="39" t="s">
        <v>494</v>
      </c>
      <c r="C59" s="39" t="s">
        <v>1176</v>
      </c>
      <c r="D59" s="39" t="s">
        <v>2845</v>
      </c>
      <c r="E59" s="48" t="s">
        <v>1180</v>
      </c>
      <c r="F59" s="49" t="s">
        <v>2881</v>
      </c>
      <c r="G59" s="39" t="s">
        <v>2847</v>
      </c>
    </row>
    <row r="60" customFormat="false" ht="18" hidden="false" customHeight="true" outlineLevel="0" collapsed="false">
      <c r="A60" s="47" t="n">
        <v>59</v>
      </c>
      <c r="B60" s="39" t="s">
        <v>494</v>
      </c>
      <c r="C60" s="39" t="s">
        <v>1176</v>
      </c>
      <c r="D60" s="39" t="s">
        <v>2848</v>
      </c>
      <c r="E60" s="48" t="s">
        <v>1181</v>
      </c>
      <c r="F60" s="49" t="s">
        <v>2882</v>
      </c>
      <c r="G60" s="39" t="s">
        <v>2847</v>
      </c>
    </row>
    <row r="61" customFormat="false" ht="18" hidden="false" customHeight="true" outlineLevel="0" collapsed="false">
      <c r="A61" s="47" t="n">
        <v>60</v>
      </c>
      <c r="B61" s="39" t="s">
        <v>494</v>
      </c>
      <c r="C61" s="39" t="s">
        <v>1176</v>
      </c>
      <c r="D61" s="39" t="s">
        <v>2850</v>
      </c>
      <c r="E61" s="48" t="s">
        <v>1183</v>
      </c>
      <c r="F61" s="49" t="s">
        <v>2883</v>
      </c>
      <c r="G61" s="39" t="s">
        <v>2852</v>
      </c>
    </row>
    <row r="62" customFormat="false" ht="18" hidden="false" customHeight="true" outlineLevel="0" collapsed="false">
      <c r="A62" s="47" t="n">
        <v>61</v>
      </c>
      <c r="B62" s="39" t="s">
        <v>494</v>
      </c>
      <c r="C62" s="39" t="s">
        <v>1176</v>
      </c>
      <c r="D62" s="39" t="s">
        <v>109</v>
      </c>
      <c r="E62" s="48" t="s">
        <v>1132</v>
      </c>
      <c r="F62" s="49" t="s">
        <v>130</v>
      </c>
      <c r="G62" s="39" t="s">
        <v>2853</v>
      </c>
    </row>
    <row r="63" customFormat="false" ht="18" hidden="false" customHeight="true" outlineLevel="0" collapsed="false">
      <c r="A63" s="47" t="n">
        <v>62</v>
      </c>
      <c r="B63" s="39" t="s">
        <v>1184</v>
      </c>
      <c r="C63" s="39" t="s">
        <v>1185</v>
      </c>
      <c r="D63" s="39" t="s">
        <v>101</v>
      </c>
      <c r="E63" s="48" t="s">
        <v>1187</v>
      </c>
      <c r="F63" s="49" t="s">
        <v>844</v>
      </c>
      <c r="G63" s="39" t="s">
        <v>2843</v>
      </c>
    </row>
    <row r="64" customFormat="false" ht="18" hidden="false" customHeight="true" outlineLevel="0" collapsed="false">
      <c r="A64" s="47" t="n">
        <v>63</v>
      </c>
      <c r="B64" s="39" t="s">
        <v>1184</v>
      </c>
      <c r="C64" s="39" t="s">
        <v>1185</v>
      </c>
      <c r="D64" s="39" t="s">
        <v>102</v>
      </c>
      <c r="E64" s="48" t="s">
        <v>1188</v>
      </c>
      <c r="F64" s="49" t="s">
        <v>217</v>
      </c>
      <c r="G64" s="39" t="s">
        <v>2844</v>
      </c>
    </row>
    <row r="65" customFormat="false" ht="18" hidden="false" customHeight="true" outlineLevel="0" collapsed="false">
      <c r="A65" s="47" t="n">
        <v>64</v>
      </c>
      <c r="B65" s="39" t="s">
        <v>1184</v>
      </c>
      <c r="C65" s="39" t="s">
        <v>1185</v>
      </c>
      <c r="D65" s="39" t="s">
        <v>2845</v>
      </c>
      <c r="E65" s="48" t="s">
        <v>1147</v>
      </c>
      <c r="F65" s="49" t="s">
        <v>2867</v>
      </c>
      <c r="G65" s="39" t="s">
        <v>2847</v>
      </c>
    </row>
    <row r="66" customFormat="false" ht="18" hidden="false" customHeight="true" outlineLevel="0" collapsed="false">
      <c r="A66" s="47" t="n">
        <v>65</v>
      </c>
      <c r="B66" s="39" t="s">
        <v>1184</v>
      </c>
      <c r="C66" s="39" t="s">
        <v>1185</v>
      </c>
      <c r="D66" s="39" t="s">
        <v>2848</v>
      </c>
      <c r="E66" s="48" t="s">
        <v>1189</v>
      </c>
      <c r="F66" s="49" t="s">
        <v>2884</v>
      </c>
      <c r="G66" s="39" t="s">
        <v>2847</v>
      </c>
    </row>
    <row r="67" customFormat="false" ht="18" hidden="false" customHeight="true" outlineLevel="0" collapsed="false">
      <c r="A67" s="47" t="n">
        <v>66</v>
      </c>
      <c r="B67" s="39" t="s">
        <v>1184</v>
      </c>
      <c r="C67" s="39" t="s">
        <v>1185</v>
      </c>
      <c r="D67" s="39" t="s">
        <v>2850</v>
      </c>
      <c r="E67" s="48" t="s">
        <v>1190</v>
      </c>
      <c r="F67" s="49" t="s">
        <v>2885</v>
      </c>
      <c r="G67" s="39" t="s">
        <v>2852</v>
      </c>
    </row>
    <row r="68" customFormat="false" ht="18" hidden="false" customHeight="true" outlineLevel="0" collapsed="false">
      <c r="A68" s="47" t="n">
        <v>67</v>
      </c>
      <c r="B68" s="39" t="s">
        <v>1184</v>
      </c>
      <c r="C68" s="39" t="s">
        <v>1185</v>
      </c>
      <c r="D68" s="39" t="s">
        <v>109</v>
      </c>
      <c r="E68" s="48" t="s">
        <v>1132</v>
      </c>
      <c r="F68" s="49" t="s">
        <v>130</v>
      </c>
      <c r="G68" s="39" t="s">
        <v>2853</v>
      </c>
    </row>
    <row r="69" customFormat="false" ht="18" hidden="false" customHeight="true" outlineLevel="0" collapsed="false">
      <c r="A69" s="47" t="n">
        <v>68</v>
      </c>
      <c r="B69" s="39" t="s">
        <v>448</v>
      </c>
      <c r="C69" s="39" t="s">
        <v>1191</v>
      </c>
      <c r="D69" s="39" t="s">
        <v>101</v>
      </c>
      <c r="E69" s="48" t="s">
        <v>1193</v>
      </c>
      <c r="F69" s="49" t="s">
        <v>447</v>
      </c>
      <c r="G69" s="39" t="s">
        <v>2843</v>
      </c>
    </row>
    <row r="70" customFormat="false" ht="18" hidden="false" customHeight="true" outlineLevel="0" collapsed="false">
      <c r="A70" s="47" t="n">
        <v>69</v>
      </c>
      <c r="B70" s="39" t="s">
        <v>448</v>
      </c>
      <c r="C70" s="39" t="s">
        <v>1191</v>
      </c>
      <c r="D70" s="39" t="s">
        <v>102</v>
      </c>
      <c r="E70" s="48" t="s">
        <v>1194</v>
      </c>
      <c r="F70" s="49" t="s">
        <v>128</v>
      </c>
      <c r="G70" s="39" t="s">
        <v>2844</v>
      </c>
    </row>
    <row r="71" customFormat="false" ht="18" hidden="false" customHeight="true" outlineLevel="0" collapsed="false">
      <c r="A71" s="47" t="n">
        <v>70</v>
      </c>
      <c r="B71" s="39" t="s">
        <v>448</v>
      </c>
      <c r="C71" s="39" t="s">
        <v>1191</v>
      </c>
      <c r="D71" s="39" t="s">
        <v>2845</v>
      </c>
      <c r="E71" s="48" t="s">
        <v>1195</v>
      </c>
      <c r="F71" s="49" t="s">
        <v>2886</v>
      </c>
      <c r="G71" s="39" t="s">
        <v>2847</v>
      </c>
    </row>
    <row r="72" customFormat="false" ht="18" hidden="false" customHeight="true" outlineLevel="0" collapsed="false">
      <c r="A72" s="47" t="n">
        <v>71</v>
      </c>
      <c r="B72" s="39" t="s">
        <v>448</v>
      </c>
      <c r="C72" s="39" t="s">
        <v>1191</v>
      </c>
      <c r="D72" s="39" t="s">
        <v>2848</v>
      </c>
      <c r="E72" s="48" t="s">
        <v>1196</v>
      </c>
      <c r="F72" s="49" t="s">
        <v>2887</v>
      </c>
      <c r="G72" s="39" t="s">
        <v>2847</v>
      </c>
    </row>
    <row r="73" customFormat="false" ht="18" hidden="false" customHeight="true" outlineLevel="0" collapsed="false">
      <c r="A73" s="47" t="n">
        <v>72</v>
      </c>
      <c r="B73" s="39" t="s">
        <v>448</v>
      </c>
      <c r="C73" s="39" t="s">
        <v>1191</v>
      </c>
      <c r="D73" s="39" t="s">
        <v>2850</v>
      </c>
      <c r="E73" s="48" t="s">
        <v>1197</v>
      </c>
      <c r="F73" s="49" t="s">
        <v>2888</v>
      </c>
      <c r="G73" s="39" t="s">
        <v>2852</v>
      </c>
    </row>
    <row r="74" customFormat="false" ht="18" hidden="false" customHeight="true" outlineLevel="0" collapsed="false">
      <c r="A74" s="47" t="n">
        <v>73</v>
      </c>
      <c r="B74" s="39" t="s">
        <v>448</v>
      </c>
      <c r="C74" s="39" t="s">
        <v>1191</v>
      </c>
      <c r="D74" s="39" t="s">
        <v>109</v>
      </c>
      <c r="E74" s="48" t="s">
        <v>1132</v>
      </c>
      <c r="F74" s="49" t="s">
        <v>130</v>
      </c>
      <c r="G74" s="39" t="s">
        <v>2853</v>
      </c>
    </row>
    <row r="75" customFormat="false" ht="18" hidden="false" customHeight="true" outlineLevel="0" collapsed="false">
      <c r="A75" s="47" t="n">
        <v>74</v>
      </c>
      <c r="B75" s="39" t="s">
        <v>986</v>
      </c>
      <c r="C75" s="39" t="s">
        <v>1198</v>
      </c>
      <c r="D75" s="39" t="s">
        <v>101</v>
      </c>
      <c r="E75" s="48" t="s">
        <v>1200</v>
      </c>
      <c r="F75" s="49" t="s">
        <v>985</v>
      </c>
      <c r="G75" s="39" t="s">
        <v>2843</v>
      </c>
    </row>
    <row r="76" customFormat="false" ht="18" hidden="false" customHeight="true" outlineLevel="0" collapsed="false">
      <c r="A76" s="47" t="n">
        <v>75</v>
      </c>
      <c r="B76" s="39" t="s">
        <v>986</v>
      </c>
      <c r="C76" s="39" t="s">
        <v>1198</v>
      </c>
      <c r="D76" s="39" t="s">
        <v>102</v>
      </c>
      <c r="E76" s="48" t="s">
        <v>1201</v>
      </c>
      <c r="F76" s="49" t="s">
        <v>128</v>
      </c>
      <c r="G76" s="39" t="s">
        <v>2844</v>
      </c>
    </row>
    <row r="77" customFormat="false" ht="18" hidden="false" customHeight="true" outlineLevel="0" collapsed="false">
      <c r="A77" s="47" t="n">
        <v>76</v>
      </c>
      <c r="B77" s="39" t="s">
        <v>986</v>
      </c>
      <c r="C77" s="39" t="s">
        <v>1198</v>
      </c>
      <c r="D77" s="39" t="s">
        <v>2845</v>
      </c>
      <c r="E77" s="48" t="s">
        <v>1202</v>
      </c>
      <c r="F77" s="49" t="s">
        <v>2889</v>
      </c>
      <c r="G77" s="39" t="s">
        <v>2847</v>
      </c>
    </row>
    <row r="78" customFormat="false" ht="18" hidden="false" customHeight="true" outlineLevel="0" collapsed="false">
      <c r="A78" s="47" t="n">
        <v>77</v>
      </c>
      <c r="B78" s="39" t="s">
        <v>986</v>
      </c>
      <c r="C78" s="39" t="s">
        <v>1198</v>
      </c>
      <c r="D78" s="39" t="s">
        <v>2848</v>
      </c>
      <c r="E78" s="48" t="s">
        <v>1203</v>
      </c>
      <c r="F78" s="49" t="s">
        <v>2890</v>
      </c>
      <c r="G78" s="39" t="s">
        <v>2847</v>
      </c>
    </row>
    <row r="79" customFormat="false" ht="18" hidden="false" customHeight="true" outlineLevel="0" collapsed="false">
      <c r="A79" s="47" t="n">
        <v>78</v>
      </c>
      <c r="B79" s="39" t="s">
        <v>986</v>
      </c>
      <c r="C79" s="39" t="s">
        <v>1198</v>
      </c>
      <c r="D79" s="39" t="s">
        <v>2850</v>
      </c>
      <c r="E79" s="48" t="s">
        <v>1205</v>
      </c>
      <c r="F79" s="49" t="s">
        <v>2891</v>
      </c>
      <c r="G79" s="39" t="s">
        <v>2852</v>
      </c>
    </row>
    <row r="80" customFormat="false" ht="18" hidden="false" customHeight="true" outlineLevel="0" collapsed="false">
      <c r="A80" s="47" t="n">
        <v>79</v>
      </c>
      <c r="B80" s="39" t="s">
        <v>986</v>
      </c>
      <c r="C80" s="39" t="s">
        <v>1198</v>
      </c>
      <c r="D80" s="39" t="s">
        <v>109</v>
      </c>
      <c r="E80" s="48" t="s">
        <v>1132</v>
      </c>
      <c r="F80" s="49" t="s">
        <v>130</v>
      </c>
      <c r="G80" s="39" t="s">
        <v>2853</v>
      </c>
    </row>
    <row r="81" customFormat="false" ht="18" hidden="false" customHeight="true" outlineLevel="0" collapsed="false">
      <c r="A81" s="47" t="n">
        <v>80</v>
      </c>
      <c r="B81" s="39" t="s">
        <v>404</v>
      </c>
      <c r="C81" s="39" t="s">
        <v>1206</v>
      </c>
      <c r="D81" s="39" t="s">
        <v>101</v>
      </c>
      <c r="E81" s="48" t="s">
        <v>1208</v>
      </c>
      <c r="F81" s="49" t="s">
        <v>403</v>
      </c>
      <c r="G81" s="39" t="s">
        <v>2843</v>
      </c>
    </row>
    <row r="82" customFormat="false" ht="18" hidden="false" customHeight="true" outlineLevel="0" collapsed="false">
      <c r="A82" s="47" t="n">
        <v>81</v>
      </c>
      <c r="B82" s="39" t="s">
        <v>404</v>
      </c>
      <c r="C82" s="39" t="s">
        <v>1206</v>
      </c>
      <c r="D82" s="39" t="s">
        <v>77</v>
      </c>
      <c r="E82" s="48" t="s">
        <v>1173</v>
      </c>
      <c r="F82" s="49" t="s">
        <v>79</v>
      </c>
      <c r="G82" s="39" t="s">
        <v>2863</v>
      </c>
    </row>
    <row r="83" customFormat="false" ht="18" hidden="false" customHeight="true" outlineLevel="0" collapsed="false">
      <c r="A83" s="47" t="n">
        <v>82</v>
      </c>
      <c r="B83" s="39" t="s">
        <v>404</v>
      </c>
      <c r="C83" s="39" t="s">
        <v>1206</v>
      </c>
      <c r="D83" s="39" t="s">
        <v>2845</v>
      </c>
      <c r="E83" s="48" t="s">
        <v>1209</v>
      </c>
      <c r="F83" s="49" t="s">
        <v>2892</v>
      </c>
      <c r="G83" s="39" t="s">
        <v>2847</v>
      </c>
    </row>
    <row r="84" customFormat="false" ht="18" hidden="false" customHeight="true" outlineLevel="0" collapsed="false">
      <c r="A84" s="47" t="n">
        <v>83</v>
      </c>
      <c r="B84" s="39" t="s">
        <v>404</v>
      </c>
      <c r="C84" s="39" t="s">
        <v>1206</v>
      </c>
      <c r="D84" s="39" t="s">
        <v>2848</v>
      </c>
      <c r="E84" s="48" t="s">
        <v>1210</v>
      </c>
      <c r="F84" s="49" t="s">
        <v>2893</v>
      </c>
      <c r="G84" s="39" t="s">
        <v>2847</v>
      </c>
    </row>
    <row r="85" customFormat="false" ht="18" hidden="false" customHeight="true" outlineLevel="0" collapsed="false">
      <c r="A85" s="47" t="n">
        <v>84</v>
      </c>
      <c r="B85" s="39" t="s">
        <v>404</v>
      </c>
      <c r="C85" s="39" t="s">
        <v>1206</v>
      </c>
      <c r="D85" s="39" t="s">
        <v>2850</v>
      </c>
      <c r="E85" s="48" t="s">
        <v>1211</v>
      </c>
      <c r="F85" s="49" t="s">
        <v>2894</v>
      </c>
      <c r="G85" s="39" t="s">
        <v>2852</v>
      </c>
    </row>
    <row r="86" customFormat="false" ht="18" hidden="false" customHeight="true" outlineLevel="0" collapsed="false">
      <c r="A86" s="47" t="n">
        <v>85</v>
      </c>
      <c r="B86" s="39" t="s">
        <v>404</v>
      </c>
      <c r="C86" s="39" t="s">
        <v>1206</v>
      </c>
      <c r="D86" s="39" t="s">
        <v>109</v>
      </c>
      <c r="E86" s="48" t="s">
        <v>1110</v>
      </c>
      <c r="F86" s="49" t="s">
        <v>151</v>
      </c>
      <c r="G86" s="39" t="s">
        <v>2853</v>
      </c>
    </row>
    <row r="87" customFormat="false" ht="18" hidden="false" customHeight="true" outlineLevel="0" collapsed="false">
      <c r="A87" s="47" t="n">
        <v>86</v>
      </c>
      <c r="B87" s="39" t="s">
        <v>1212</v>
      </c>
      <c r="C87" s="39" t="s">
        <v>1213</v>
      </c>
      <c r="D87" s="39" t="s">
        <v>101</v>
      </c>
      <c r="E87" s="48" t="s">
        <v>1215</v>
      </c>
      <c r="F87" s="49" t="s">
        <v>188</v>
      </c>
      <c r="G87" s="39" t="s">
        <v>2843</v>
      </c>
    </row>
    <row r="88" customFormat="false" ht="18" hidden="false" customHeight="true" outlineLevel="0" collapsed="false">
      <c r="A88" s="47" t="n">
        <v>87</v>
      </c>
      <c r="B88" s="39" t="s">
        <v>1212</v>
      </c>
      <c r="C88" s="39" t="s">
        <v>1213</v>
      </c>
      <c r="D88" s="39" t="s">
        <v>77</v>
      </c>
      <c r="E88" s="48" t="s">
        <v>1216</v>
      </c>
      <c r="F88" s="49" t="s">
        <v>80</v>
      </c>
      <c r="G88" s="39" t="s">
        <v>2863</v>
      </c>
    </row>
    <row r="89" customFormat="false" ht="18" hidden="false" customHeight="true" outlineLevel="0" collapsed="false">
      <c r="A89" s="47" t="n">
        <v>88</v>
      </c>
      <c r="B89" s="39" t="s">
        <v>1212</v>
      </c>
      <c r="C89" s="39" t="s">
        <v>1213</v>
      </c>
      <c r="D89" s="39" t="s">
        <v>2845</v>
      </c>
      <c r="E89" s="48" t="s">
        <v>1217</v>
      </c>
      <c r="F89" s="49" t="s">
        <v>2895</v>
      </c>
      <c r="G89" s="39" t="s">
        <v>2847</v>
      </c>
    </row>
    <row r="90" customFormat="false" ht="18" hidden="false" customHeight="true" outlineLevel="0" collapsed="false">
      <c r="A90" s="47" t="n">
        <v>89</v>
      </c>
      <c r="B90" s="39" t="s">
        <v>1212</v>
      </c>
      <c r="C90" s="39" t="s">
        <v>1213</v>
      </c>
      <c r="D90" s="39" t="s">
        <v>2848</v>
      </c>
      <c r="E90" s="48" t="s">
        <v>1218</v>
      </c>
      <c r="F90" s="49" t="s">
        <v>1893</v>
      </c>
      <c r="G90" s="39" t="s">
        <v>2847</v>
      </c>
    </row>
    <row r="91" customFormat="false" ht="18" hidden="false" customHeight="true" outlineLevel="0" collapsed="false">
      <c r="A91" s="47" t="n">
        <v>90</v>
      </c>
      <c r="B91" s="39" t="s">
        <v>1212</v>
      </c>
      <c r="C91" s="39" t="s">
        <v>1213</v>
      </c>
      <c r="D91" s="39" t="s">
        <v>2850</v>
      </c>
      <c r="E91" s="48" t="s">
        <v>1219</v>
      </c>
      <c r="F91" s="49" t="s">
        <v>2896</v>
      </c>
      <c r="G91" s="39" t="s">
        <v>2852</v>
      </c>
    </row>
    <row r="92" customFormat="false" ht="18" hidden="false" customHeight="true" outlineLevel="0" collapsed="false">
      <c r="A92" s="47" t="n">
        <v>91</v>
      </c>
      <c r="B92" s="39" t="s">
        <v>1212</v>
      </c>
      <c r="C92" s="39" t="s">
        <v>1213</v>
      </c>
      <c r="D92" s="39" t="s">
        <v>109</v>
      </c>
      <c r="E92" s="48" t="s">
        <v>1110</v>
      </c>
      <c r="F92" s="49" t="s">
        <v>151</v>
      </c>
      <c r="G92" s="39" t="s">
        <v>2853</v>
      </c>
    </row>
    <row r="93" customFormat="false" ht="18" hidden="false" customHeight="true" outlineLevel="0" collapsed="false">
      <c r="A93" s="47" t="n">
        <v>92</v>
      </c>
      <c r="B93" s="39" t="s">
        <v>744</v>
      </c>
      <c r="C93" s="39" t="s">
        <v>1220</v>
      </c>
      <c r="D93" s="39" t="s">
        <v>2840</v>
      </c>
      <c r="E93" s="48" t="s">
        <v>1221</v>
      </c>
      <c r="F93" s="49" t="s">
        <v>2897</v>
      </c>
      <c r="G93" s="39" t="s">
        <v>2898</v>
      </c>
    </row>
    <row r="94" customFormat="false" ht="18" hidden="false" customHeight="true" outlineLevel="0" collapsed="false">
      <c r="A94" s="47" t="n">
        <v>93</v>
      </c>
      <c r="B94" s="39" t="s">
        <v>744</v>
      </c>
      <c r="C94" s="39" t="s">
        <v>1220</v>
      </c>
      <c r="D94" s="39" t="s">
        <v>102</v>
      </c>
      <c r="E94" s="48" t="s">
        <v>81</v>
      </c>
      <c r="F94" s="49" t="s">
        <v>257</v>
      </c>
      <c r="G94" s="39" t="s">
        <v>2844</v>
      </c>
    </row>
    <row r="95" customFormat="false" ht="18" hidden="false" customHeight="true" outlineLevel="0" collapsed="false">
      <c r="A95" s="47" t="n">
        <v>94</v>
      </c>
      <c r="B95" s="39" t="s">
        <v>744</v>
      </c>
      <c r="C95" s="39" t="s">
        <v>1220</v>
      </c>
      <c r="D95" s="39" t="s">
        <v>2845</v>
      </c>
      <c r="E95" s="48" t="s">
        <v>1222</v>
      </c>
      <c r="F95" s="49" t="s">
        <v>2899</v>
      </c>
      <c r="G95" s="39" t="s">
        <v>2847</v>
      </c>
    </row>
    <row r="96" customFormat="false" ht="18" hidden="false" customHeight="true" outlineLevel="0" collapsed="false">
      <c r="A96" s="47" t="n">
        <v>95</v>
      </c>
      <c r="B96" s="39" t="s">
        <v>744</v>
      </c>
      <c r="C96" s="39" t="s">
        <v>1220</v>
      </c>
      <c r="D96" s="39" t="s">
        <v>2848</v>
      </c>
      <c r="E96" s="48" t="s">
        <v>1223</v>
      </c>
      <c r="F96" s="49" t="s">
        <v>2900</v>
      </c>
      <c r="G96" s="39" t="s">
        <v>2847</v>
      </c>
    </row>
    <row r="97" customFormat="false" ht="18" hidden="false" customHeight="true" outlineLevel="0" collapsed="false">
      <c r="A97" s="47" t="n">
        <v>96</v>
      </c>
      <c r="B97" s="39" t="s">
        <v>744</v>
      </c>
      <c r="C97" s="39" t="s">
        <v>1220</v>
      </c>
      <c r="D97" s="39" t="s">
        <v>2850</v>
      </c>
      <c r="E97" s="48" t="s">
        <v>1225</v>
      </c>
      <c r="F97" s="49" t="s">
        <v>2901</v>
      </c>
      <c r="G97" s="39" t="s">
        <v>2852</v>
      </c>
    </row>
    <row r="98" customFormat="false" ht="18" hidden="false" customHeight="true" outlineLevel="0" collapsed="false">
      <c r="A98" s="47" t="n">
        <v>97</v>
      </c>
      <c r="B98" s="39" t="s">
        <v>744</v>
      </c>
      <c r="C98" s="39" t="s">
        <v>1220</v>
      </c>
      <c r="D98" s="39" t="s">
        <v>109</v>
      </c>
      <c r="E98" s="48" t="s">
        <v>1132</v>
      </c>
      <c r="F98" s="49" t="s">
        <v>130</v>
      </c>
      <c r="G98" s="39" t="s">
        <v>2853</v>
      </c>
    </row>
    <row r="99" customFormat="false" ht="18" hidden="false" customHeight="true" outlineLevel="0" collapsed="false">
      <c r="A99" s="47" t="n">
        <v>98</v>
      </c>
      <c r="B99" s="39" t="s">
        <v>1226</v>
      </c>
      <c r="C99" s="39" t="s">
        <v>1227</v>
      </c>
      <c r="D99" s="39" t="s">
        <v>2840</v>
      </c>
      <c r="E99" s="48" t="s">
        <v>1228</v>
      </c>
      <c r="F99" s="49" t="s">
        <v>2323</v>
      </c>
      <c r="G99" s="39" t="s">
        <v>2842</v>
      </c>
    </row>
    <row r="100" customFormat="false" ht="18" hidden="false" customHeight="true" outlineLevel="0" collapsed="false">
      <c r="A100" s="47" t="n">
        <v>99</v>
      </c>
      <c r="B100" s="39" t="s">
        <v>1226</v>
      </c>
      <c r="C100" s="39" t="s">
        <v>1227</v>
      </c>
      <c r="D100" s="39" t="s">
        <v>102</v>
      </c>
      <c r="E100" s="48" t="s">
        <v>1172</v>
      </c>
      <c r="F100" s="49" t="s">
        <v>128</v>
      </c>
      <c r="G100" s="39" t="s">
        <v>2844</v>
      </c>
    </row>
    <row r="101" customFormat="false" ht="18" hidden="false" customHeight="true" outlineLevel="0" collapsed="false">
      <c r="A101" s="47" t="n">
        <v>100</v>
      </c>
      <c r="B101" s="39" t="s">
        <v>1226</v>
      </c>
      <c r="C101" s="39" t="s">
        <v>1227</v>
      </c>
      <c r="D101" s="39" t="s">
        <v>77</v>
      </c>
      <c r="E101" s="48" t="s">
        <v>1173</v>
      </c>
      <c r="F101" s="49" t="s">
        <v>79</v>
      </c>
      <c r="G101" s="39" t="s">
        <v>2863</v>
      </c>
    </row>
    <row r="102" customFormat="false" ht="18" hidden="false" customHeight="true" outlineLevel="0" collapsed="false">
      <c r="A102" s="47" t="n">
        <v>101</v>
      </c>
      <c r="B102" s="39" t="s">
        <v>1226</v>
      </c>
      <c r="C102" s="39" t="s">
        <v>1227</v>
      </c>
      <c r="D102" s="39" t="s">
        <v>2845</v>
      </c>
      <c r="E102" s="48" t="s">
        <v>1229</v>
      </c>
      <c r="F102" s="49" t="s">
        <v>2902</v>
      </c>
      <c r="G102" s="39" t="s">
        <v>2847</v>
      </c>
    </row>
    <row r="103" customFormat="false" ht="18" hidden="false" customHeight="true" outlineLevel="0" collapsed="false">
      <c r="A103" s="47" t="n">
        <v>102</v>
      </c>
      <c r="B103" s="39" t="s">
        <v>1226</v>
      </c>
      <c r="C103" s="39" t="s">
        <v>1227</v>
      </c>
      <c r="D103" s="39" t="s">
        <v>2848</v>
      </c>
      <c r="E103" s="48" t="s">
        <v>1230</v>
      </c>
      <c r="F103" s="49" t="s">
        <v>2903</v>
      </c>
      <c r="G103" s="39" t="s">
        <v>2847</v>
      </c>
    </row>
    <row r="104" customFormat="false" ht="18" hidden="false" customHeight="true" outlineLevel="0" collapsed="false">
      <c r="A104" s="47" t="n">
        <v>103</v>
      </c>
      <c r="B104" s="39" t="s">
        <v>1226</v>
      </c>
      <c r="C104" s="39" t="s">
        <v>1227</v>
      </c>
      <c r="D104" s="39" t="s">
        <v>2850</v>
      </c>
      <c r="E104" s="48" t="s">
        <v>1231</v>
      </c>
      <c r="F104" s="49" t="s">
        <v>2904</v>
      </c>
      <c r="G104" s="39" t="s">
        <v>2852</v>
      </c>
    </row>
    <row r="105" customFormat="false" ht="18" hidden="false" customHeight="true" outlineLevel="0" collapsed="false">
      <c r="A105" s="47" t="n">
        <v>104</v>
      </c>
      <c r="B105" s="39" t="s">
        <v>1226</v>
      </c>
      <c r="C105" s="39" t="s">
        <v>1227</v>
      </c>
      <c r="D105" s="39" t="s">
        <v>109</v>
      </c>
      <c r="E105" s="48" t="s">
        <v>1110</v>
      </c>
      <c r="F105" s="49" t="s">
        <v>151</v>
      </c>
      <c r="G105" s="39" t="s">
        <v>2853</v>
      </c>
    </row>
    <row r="106" customFormat="false" ht="18" hidden="false" customHeight="true" outlineLevel="0" collapsed="false">
      <c r="A106" s="47" t="n">
        <v>105</v>
      </c>
      <c r="B106" s="39" t="s">
        <v>479</v>
      </c>
      <c r="C106" s="39" t="s">
        <v>1232</v>
      </c>
      <c r="D106" s="39" t="s">
        <v>101</v>
      </c>
      <c r="E106" s="48" t="s">
        <v>1234</v>
      </c>
      <c r="F106" s="49" t="s">
        <v>478</v>
      </c>
      <c r="G106" s="39" t="s">
        <v>2843</v>
      </c>
    </row>
    <row r="107" customFormat="false" ht="18" hidden="false" customHeight="true" outlineLevel="0" collapsed="false">
      <c r="A107" s="47" t="n">
        <v>106</v>
      </c>
      <c r="B107" s="39" t="s">
        <v>479</v>
      </c>
      <c r="C107" s="39" t="s">
        <v>1232</v>
      </c>
      <c r="D107" s="39" t="s">
        <v>102</v>
      </c>
      <c r="E107" s="48" t="s">
        <v>1235</v>
      </c>
      <c r="F107" s="49" t="s">
        <v>120</v>
      </c>
      <c r="G107" s="39" t="s">
        <v>2844</v>
      </c>
    </row>
    <row r="108" customFormat="false" ht="18" hidden="false" customHeight="true" outlineLevel="0" collapsed="false">
      <c r="A108" s="47" t="n">
        <v>107</v>
      </c>
      <c r="B108" s="39" t="s">
        <v>479</v>
      </c>
      <c r="C108" s="39" t="s">
        <v>1232</v>
      </c>
      <c r="D108" s="39" t="s">
        <v>77</v>
      </c>
      <c r="E108" s="48" t="s">
        <v>1236</v>
      </c>
      <c r="F108" s="49" t="s">
        <v>80</v>
      </c>
      <c r="G108" s="39" t="s">
        <v>2863</v>
      </c>
    </row>
    <row r="109" customFormat="false" ht="18" hidden="false" customHeight="true" outlineLevel="0" collapsed="false">
      <c r="A109" s="47" t="n">
        <v>108</v>
      </c>
      <c r="B109" s="39" t="s">
        <v>479</v>
      </c>
      <c r="C109" s="39" t="s">
        <v>1232</v>
      </c>
      <c r="D109" s="39" t="s">
        <v>2845</v>
      </c>
      <c r="E109" s="48" t="s">
        <v>1237</v>
      </c>
      <c r="F109" s="49" t="s">
        <v>2905</v>
      </c>
      <c r="G109" s="39" t="s">
        <v>2847</v>
      </c>
    </row>
    <row r="110" customFormat="false" ht="18" hidden="false" customHeight="true" outlineLevel="0" collapsed="false">
      <c r="A110" s="47" t="n">
        <v>109</v>
      </c>
      <c r="B110" s="39" t="s">
        <v>479</v>
      </c>
      <c r="C110" s="39" t="s">
        <v>1232</v>
      </c>
      <c r="D110" s="39" t="s">
        <v>2848</v>
      </c>
      <c r="E110" s="48" t="s">
        <v>1238</v>
      </c>
      <c r="F110" s="49" t="s">
        <v>2906</v>
      </c>
      <c r="G110" s="39" t="s">
        <v>2847</v>
      </c>
    </row>
    <row r="111" customFormat="false" ht="18" hidden="false" customHeight="true" outlineLevel="0" collapsed="false">
      <c r="A111" s="47" t="n">
        <v>110</v>
      </c>
      <c r="B111" s="39" t="s">
        <v>479</v>
      </c>
      <c r="C111" s="39" t="s">
        <v>1232</v>
      </c>
      <c r="D111" s="39" t="s">
        <v>2850</v>
      </c>
      <c r="E111" s="48" t="s">
        <v>1239</v>
      </c>
      <c r="F111" s="49" t="s">
        <v>2907</v>
      </c>
      <c r="G111" s="39" t="s">
        <v>2852</v>
      </c>
    </row>
    <row r="112" customFormat="false" ht="18" hidden="false" customHeight="true" outlineLevel="0" collapsed="false">
      <c r="A112" s="47" t="n">
        <v>111</v>
      </c>
      <c r="B112" s="39" t="s">
        <v>479</v>
      </c>
      <c r="C112" s="39" t="s">
        <v>1232</v>
      </c>
      <c r="D112" s="39" t="s">
        <v>109</v>
      </c>
      <c r="E112" s="48" t="s">
        <v>1110</v>
      </c>
      <c r="F112" s="49" t="s">
        <v>151</v>
      </c>
      <c r="G112" s="39" t="s">
        <v>2853</v>
      </c>
    </row>
    <row r="113" customFormat="false" ht="18" hidden="false" customHeight="true" outlineLevel="0" collapsed="false">
      <c r="A113" s="47" t="n">
        <v>112</v>
      </c>
      <c r="B113" s="39" t="s">
        <v>131</v>
      </c>
      <c r="C113" s="39" t="s">
        <v>1240</v>
      </c>
      <c r="D113" s="39" t="s">
        <v>100</v>
      </c>
      <c r="E113" s="48" t="s">
        <v>1242</v>
      </c>
      <c r="F113" s="49" t="s">
        <v>126</v>
      </c>
      <c r="G113" s="39" t="s">
        <v>2878</v>
      </c>
    </row>
    <row r="114" customFormat="false" ht="18" hidden="false" customHeight="true" outlineLevel="0" collapsed="false">
      <c r="A114" s="47" t="n">
        <v>113</v>
      </c>
      <c r="B114" s="39" t="s">
        <v>131</v>
      </c>
      <c r="C114" s="39" t="s">
        <v>1240</v>
      </c>
      <c r="D114" s="39" t="s">
        <v>77</v>
      </c>
      <c r="E114" s="48" t="s">
        <v>1243</v>
      </c>
      <c r="F114" s="49" t="s">
        <v>79</v>
      </c>
      <c r="G114" s="39" t="s">
        <v>2863</v>
      </c>
    </row>
    <row r="115" customFormat="false" ht="18" hidden="false" customHeight="true" outlineLevel="0" collapsed="false">
      <c r="A115" s="47" t="n">
        <v>114</v>
      </c>
      <c r="B115" s="39" t="s">
        <v>131</v>
      </c>
      <c r="C115" s="39" t="s">
        <v>1240</v>
      </c>
      <c r="D115" s="39" t="s">
        <v>2845</v>
      </c>
      <c r="E115" s="48" t="s">
        <v>1244</v>
      </c>
      <c r="F115" s="49" t="s">
        <v>2908</v>
      </c>
      <c r="G115" s="39" t="s">
        <v>2847</v>
      </c>
    </row>
    <row r="116" customFormat="false" ht="18" hidden="false" customHeight="true" outlineLevel="0" collapsed="false">
      <c r="A116" s="47" t="n">
        <v>115</v>
      </c>
      <c r="B116" s="39" t="s">
        <v>131</v>
      </c>
      <c r="C116" s="39" t="s">
        <v>1240</v>
      </c>
      <c r="D116" s="39" t="s">
        <v>2848</v>
      </c>
      <c r="E116" s="48" t="s">
        <v>1245</v>
      </c>
      <c r="F116" s="49" t="s">
        <v>2909</v>
      </c>
      <c r="G116" s="39" t="s">
        <v>2847</v>
      </c>
    </row>
    <row r="117" customFormat="false" ht="18" hidden="false" customHeight="true" outlineLevel="0" collapsed="false">
      <c r="A117" s="47" t="n">
        <v>116</v>
      </c>
      <c r="B117" s="39" t="s">
        <v>131</v>
      </c>
      <c r="C117" s="39" t="s">
        <v>1240</v>
      </c>
      <c r="D117" s="39" t="s">
        <v>2850</v>
      </c>
      <c r="E117" s="48" t="s">
        <v>1246</v>
      </c>
      <c r="F117" s="49" t="s">
        <v>2910</v>
      </c>
      <c r="G117" s="39" t="s">
        <v>2852</v>
      </c>
    </row>
    <row r="118" customFormat="false" ht="18" hidden="false" customHeight="true" outlineLevel="0" collapsed="false">
      <c r="A118" s="47" t="n">
        <v>117</v>
      </c>
      <c r="B118" s="39" t="s">
        <v>131</v>
      </c>
      <c r="C118" s="39" t="s">
        <v>1240</v>
      </c>
      <c r="D118" s="39" t="s">
        <v>109</v>
      </c>
      <c r="E118" s="48" t="s">
        <v>1132</v>
      </c>
      <c r="F118" s="49" t="s">
        <v>130</v>
      </c>
      <c r="G118" s="39" t="s">
        <v>2853</v>
      </c>
    </row>
    <row r="119" customFormat="false" ht="18" hidden="false" customHeight="true" outlineLevel="0" collapsed="false">
      <c r="A119" s="47" t="n">
        <v>118</v>
      </c>
      <c r="B119" s="39" t="s">
        <v>1247</v>
      </c>
      <c r="C119" s="39" t="s">
        <v>1248</v>
      </c>
      <c r="D119" s="39" t="s">
        <v>101</v>
      </c>
      <c r="E119" s="48" t="s">
        <v>1250</v>
      </c>
      <c r="F119" s="49" t="s">
        <v>875</v>
      </c>
      <c r="G119" s="39" t="s">
        <v>2843</v>
      </c>
    </row>
    <row r="120" customFormat="false" ht="18" hidden="false" customHeight="true" outlineLevel="0" collapsed="false">
      <c r="A120" s="47" t="n">
        <v>119</v>
      </c>
      <c r="B120" s="39" t="s">
        <v>1247</v>
      </c>
      <c r="C120" s="39" t="s">
        <v>1248</v>
      </c>
      <c r="D120" s="39" t="s">
        <v>77</v>
      </c>
      <c r="E120" s="48" t="s">
        <v>1162</v>
      </c>
      <c r="F120" s="49" t="s">
        <v>79</v>
      </c>
      <c r="G120" s="39" t="s">
        <v>2863</v>
      </c>
    </row>
    <row r="121" customFormat="false" ht="18" hidden="false" customHeight="true" outlineLevel="0" collapsed="false">
      <c r="A121" s="47" t="n">
        <v>120</v>
      </c>
      <c r="B121" s="39" t="s">
        <v>1247</v>
      </c>
      <c r="C121" s="39" t="s">
        <v>1248</v>
      </c>
      <c r="D121" s="39" t="s">
        <v>2845</v>
      </c>
      <c r="E121" s="48" t="s">
        <v>1251</v>
      </c>
      <c r="F121" s="49" t="s">
        <v>2911</v>
      </c>
      <c r="G121" s="39" t="s">
        <v>2847</v>
      </c>
    </row>
    <row r="122" customFormat="false" ht="18" hidden="false" customHeight="true" outlineLevel="0" collapsed="false">
      <c r="A122" s="47" t="n">
        <v>121</v>
      </c>
      <c r="B122" s="39" t="s">
        <v>1247</v>
      </c>
      <c r="C122" s="39" t="s">
        <v>1248</v>
      </c>
      <c r="D122" s="39" t="s">
        <v>2848</v>
      </c>
      <c r="E122" s="48" t="s">
        <v>1252</v>
      </c>
      <c r="F122" s="49" t="s">
        <v>2912</v>
      </c>
      <c r="G122" s="39" t="s">
        <v>2847</v>
      </c>
    </row>
    <row r="123" customFormat="false" ht="18" hidden="false" customHeight="true" outlineLevel="0" collapsed="false">
      <c r="A123" s="47" t="n">
        <v>122</v>
      </c>
      <c r="B123" s="39" t="s">
        <v>1247</v>
      </c>
      <c r="C123" s="39" t="s">
        <v>1248</v>
      </c>
      <c r="D123" s="39" t="s">
        <v>2850</v>
      </c>
      <c r="E123" s="48" t="s">
        <v>1253</v>
      </c>
      <c r="F123" s="49" t="s">
        <v>2913</v>
      </c>
      <c r="G123" s="39" t="s">
        <v>2852</v>
      </c>
    </row>
    <row r="124" customFormat="false" ht="18" hidden="false" customHeight="true" outlineLevel="0" collapsed="false">
      <c r="A124" s="47" t="n">
        <v>123</v>
      </c>
      <c r="B124" s="39" t="s">
        <v>1247</v>
      </c>
      <c r="C124" s="39" t="s">
        <v>1248</v>
      </c>
      <c r="D124" s="39" t="s">
        <v>109</v>
      </c>
      <c r="E124" s="48" t="s">
        <v>1110</v>
      </c>
      <c r="F124" s="49" t="s">
        <v>151</v>
      </c>
      <c r="G124" s="39" t="s">
        <v>2853</v>
      </c>
    </row>
    <row r="125" customFormat="false" ht="18" hidden="false" customHeight="true" outlineLevel="0" collapsed="false">
      <c r="A125" s="47" t="n">
        <v>124</v>
      </c>
      <c r="B125" s="39" t="s">
        <v>1254</v>
      </c>
      <c r="C125" s="39" t="s">
        <v>1255</v>
      </c>
      <c r="D125" s="39" t="s">
        <v>2840</v>
      </c>
      <c r="E125" s="48" t="s">
        <v>1256</v>
      </c>
      <c r="F125" s="49" t="s">
        <v>2914</v>
      </c>
      <c r="G125" s="39" t="s">
        <v>2898</v>
      </c>
    </row>
    <row r="126" customFormat="false" ht="18" hidden="false" customHeight="true" outlineLevel="0" collapsed="false">
      <c r="A126" s="47" t="n">
        <v>125</v>
      </c>
      <c r="B126" s="39" t="s">
        <v>1254</v>
      </c>
      <c r="C126" s="39" t="s">
        <v>1255</v>
      </c>
      <c r="D126" s="39" t="s">
        <v>77</v>
      </c>
      <c r="E126" s="48" t="s">
        <v>1257</v>
      </c>
      <c r="F126" s="49" t="s">
        <v>83</v>
      </c>
      <c r="G126" s="39" t="s">
        <v>2863</v>
      </c>
    </row>
    <row r="127" customFormat="false" ht="18" hidden="false" customHeight="true" outlineLevel="0" collapsed="false">
      <c r="A127" s="47" t="n">
        <v>126</v>
      </c>
      <c r="B127" s="39" t="s">
        <v>1254</v>
      </c>
      <c r="C127" s="39" t="s">
        <v>1255</v>
      </c>
      <c r="D127" s="39" t="s">
        <v>2845</v>
      </c>
      <c r="E127" s="48" t="s">
        <v>1258</v>
      </c>
      <c r="F127" s="49" t="s">
        <v>2915</v>
      </c>
      <c r="G127" s="39" t="s">
        <v>2847</v>
      </c>
    </row>
    <row r="128" customFormat="false" ht="18" hidden="false" customHeight="true" outlineLevel="0" collapsed="false">
      <c r="A128" s="47" t="n">
        <v>127</v>
      </c>
      <c r="B128" s="39" t="s">
        <v>1254</v>
      </c>
      <c r="C128" s="39" t="s">
        <v>1255</v>
      </c>
      <c r="D128" s="39" t="s">
        <v>2848</v>
      </c>
      <c r="E128" s="48" t="s">
        <v>1259</v>
      </c>
      <c r="F128" s="49" t="s">
        <v>2916</v>
      </c>
      <c r="G128" s="39" t="s">
        <v>2847</v>
      </c>
    </row>
    <row r="129" customFormat="false" ht="18" hidden="false" customHeight="true" outlineLevel="0" collapsed="false">
      <c r="A129" s="47" t="n">
        <v>128</v>
      </c>
      <c r="B129" s="39" t="s">
        <v>1254</v>
      </c>
      <c r="C129" s="39" t="s">
        <v>1255</v>
      </c>
      <c r="D129" s="39" t="s">
        <v>2850</v>
      </c>
      <c r="E129" s="48" t="s">
        <v>1260</v>
      </c>
      <c r="F129" s="49" t="s">
        <v>2608</v>
      </c>
      <c r="G129" s="39" t="s">
        <v>2852</v>
      </c>
    </row>
    <row r="130" customFormat="false" ht="18" hidden="false" customHeight="true" outlineLevel="0" collapsed="false">
      <c r="A130" s="47" t="n">
        <v>129</v>
      </c>
      <c r="B130" s="39" t="s">
        <v>1254</v>
      </c>
      <c r="C130" s="39" t="s">
        <v>1255</v>
      </c>
      <c r="D130" s="39" t="s">
        <v>109</v>
      </c>
      <c r="E130" s="48" t="s">
        <v>1110</v>
      </c>
      <c r="F130" s="49" t="s">
        <v>151</v>
      </c>
      <c r="G130" s="39" t="s">
        <v>2853</v>
      </c>
    </row>
    <row r="131" customFormat="false" ht="18" hidden="false" customHeight="true" outlineLevel="0" collapsed="false">
      <c r="A131" s="47" t="n">
        <v>130</v>
      </c>
      <c r="B131" s="39" t="s">
        <v>881</v>
      </c>
      <c r="C131" s="39" t="s">
        <v>1261</v>
      </c>
      <c r="D131" s="39" t="s">
        <v>101</v>
      </c>
      <c r="E131" s="48" t="s">
        <v>1263</v>
      </c>
      <c r="F131" s="49" t="s">
        <v>880</v>
      </c>
      <c r="G131" s="39" t="s">
        <v>2843</v>
      </c>
    </row>
    <row r="132" customFormat="false" ht="18" hidden="false" customHeight="true" outlineLevel="0" collapsed="false">
      <c r="A132" s="47" t="n">
        <v>131</v>
      </c>
      <c r="B132" s="39" t="s">
        <v>881</v>
      </c>
      <c r="C132" s="39" t="s">
        <v>1261</v>
      </c>
      <c r="D132" s="39" t="s">
        <v>102</v>
      </c>
      <c r="E132" s="48" t="s">
        <v>81</v>
      </c>
      <c r="F132" s="49" t="s">
        <v>257</v>
      </c>
      <c r="G132" s="39" t="s">
        <v>2844</v>
      </c>
    </row>
    <row r="133" customFormat="false" ht="18" hidden="false" customHeight="true" outlineLevel="0" collapsed="false">
      <c r="A133" s="47" t="n">
        <v>132</v>
      </c>
      <c r="B133" s="39" t="s">
        <v>881</v>
      </c>
      <c r="C133" s="39" t="s">
        <v>1261</v>
      </c>
      <c r="D133" s="39" t="s">
        <v>2845</v>
      </c>
      <c r="E133" s="48" t="s">
        <v>1264</v>
      </c>
      <c r="F133" s="49" t="s">
        <v>2917</v>
      </c>
      <c r="G133" s="39" t="s">
        <v>2847</v>
      </c>
    </row>
    <row r="134" customFormat="false" ht="18" hidden="false" customHeight="true" outlineLevel="0" collapsed="false">
      <c r="A134" s="47" t="n">
        <v>133</v>
      </c>
      <c r="B134" s="39" t="s">
        <v>881</v>
      </c>
      <c r="C134" s="39" t="s">
        <v>1261</v>
      </c>
      <c r="D134" s="39" t="s">
        <v>2848</v>
      </c>
      <c r="E134" s="48" t="s">
        <v>1265</v>
      </c>
      <c r="F134" s="49" t="s">
        <v>2918</v>
      </c>
      <c r="G134" s="39" t="s">
        <v>2847</v>
      </c>
    </row>
    <row r="135" customFormat="false" ht="18" hidden="false" customHeight="true" outlineLevel="0" collapsed="false">
      <c r="A135" s="47" t="n">
        <v>134</v>
      </c>
      <c r="B135" s="39" t="s">
        <v>881</v>
      </c>
      <c r="C135" s="39" t="s">
        <v>1261</v>
      </c>
      <c r="D135" s="39" t="s">
        <v>2850</v>
      </c>
      <c r="E135" s="48" t="s">
        <v>1266</v>
      </c>
      <c r="F135" s="49" t="s">
        <v>2919</v>
      </c>
      <c r="G135" s="39" t="s">
        <v>2852</v>
      </c>
    </row>
    <row r="136" customFormat="false" ht="18" hidden="false" customHeight="true" outlineLevel="0" collapsed="false">
      <c r="A136" s="47" t="n">
        <v>135</v>
      </c>
      <c r="B136" s="39" t="s">
        <v>881</v>
      </c>
      <c r="C136" s="39" t="s">
        <v>1261</v>
      </c>
      <c r="D136" s="39" t="s">
        <v>109</v>
      </c>
      <c r="E136" s="48" t="s">
        <v>1132</v>
      </c>
      <c r="F136" s="49" t="s">
        <v>130</v>
      </c>
      <c r="G136" s="39" t="s">
        <v>2853</v>
      </c>
    </row>
    <row r="137" customFormat="false" ht="18" hidden="false" customHeight="true" outlineLevel="0" collapsed="false">
      <c r="A137" s="47" t="n">
        <v>136</v>
      </c>
      <c r="B137" s="39" t="s">
        <v>583</v>
      </c>
      <c r="C137" s="39" t="s">
        <v>1267</v>
      </c>
      <c r="D137" s="39" t="s">
        <v>101</v>
      </c>
      <c r="E137" s="48" t="s">
        <v>1269</v>
      </c>
      <c r="F137" s="49" t="s">
        <v>582</v>
      </c>
      <c r="G137" s="39" t="s">
        <v>2843</v>
      </c>
    </row>
    <row r="138" customFormat="false" ht="18" hidden="false" customHeight="true" outlineLevel="0" collapsed="false">
      <c r="A138" s="47" t="n">
        <v>137</v>
      </c>
      <c r="B138" s="39" t="s">
        <v>583</v>
      </c>
      <c r="C138" s="39" t="s">
        <v>1267</v>
      </c>
      <c r="D138" s="39" t="s">
        <v>102</v>
      </c>
      <c r="E138" s="48" t="s">
        <v>1194</v>
      </c>
      <c r="F138" s="49" t="s">
        <v>128</v>
      </c>
      <c r="G138" s="39" t="s">
        <v>2844</v>
      </c>
    </row>
    <row r="139" customFormat="false" ht="18" hidden="false" customHeight="true" outlineLevel="0" collapsed="false">
      <c r="A139" s="47" t="n">
        <v>138</v>
      </c>
      <c r="B139" s="39" t="s">
        <v>583</v>
      </c>
      <c r="C139" s="39" t="s">
        <v>1267</v>
      </c>
      <c r="D139" s="39" t="s">
        <v>2845</v>
      </c>
      <c r="E139" s="48" t="s">
        <v>1270</v>
      </c>
      <c r="F139" s="49" t="s">
        <v>2920</v>
      </c>
      <c r="G139" s="39" t="s">
        <v>2847</v>
      </c>
    </row>
    <row r="140" customFormat="false" ht="18" hidden="false" customHeight="true" outlineLevel="0" collapsed="false">
      <c r="A140" s="47" t="n">
        <v>139</v>
      </c>
      <c r="B140" s="39" t="s">
        <v>583</v>
      </c>
      <c r="C140" s="39" t="s">
        <v>1267</v>
      </c>
      <c r="D140" s="39" t="s">
        <v>2848</v>
      </c>
      <c r="E140" s="48" t="s">
        <v>1271</v>
      </c>
      <c r="F140" s="49" t="s">
        <v>2921</v>
      </c>
      <c r="G140" s="39" t="s">
        <v>2847</v>
      </c>
    </row>
    <row r="141" customFormat="false" ht="18" hidden="false" customHeight="true" outlineLevel="0" collapsed="false">
      <c r="A141" s="47" t="n">
        <v>140</v>
      </c>
      <c r="B141" s="39" t="s">
        <v>583</v>
      </c>
      <c r="C141" s="39" t="s">
        <v>1267</v>
      </c>
      <c r="D141" s="39" t="s">
        <v>2850</v>
      </c>
      <c r="E141" s="48" t="s">
        <v>1273</v>
      </c>
      <c r="F141" s="49" t="s">
        <v>2436</v>
      </c>
      <c r="G141" s="39" t="s">
        <v>2852</v>
      </c>
    </row>
    <row r="142" customFormat="false" ht="18" hidden="false" customHeight="true" outlineLevel="0" collapsed="false">
      <c r="A142" s="47" t="n">
        <v>141</v>
      </c>
      <c r="B142" s="39" t="s">
        <v>583</v>
      </c>
      <c r="C142" s="39" t="s">
        <v>1267</v>
      </c>
      <c r="D142" s="39" t="s">
        <v>109</v>
      </c>
      <c r="E142" s="48" t="s">
        <v>1132</v>
      </c>
      <c r="F142" s="49" t="s">
        <v>130</v>
      </c>
      <c r="G142" s="39" t="s">
        <v>2853</v>
      </c>
    </row>
    <row r="143" customFormat="false" ht="18" hidden="false" customHeight="true" outlineLevel="0" collapsed="false">
      <c r="A143" s="47" t="n">
        <v>142</v>
      </c>
      <c r="B143" s="39" t="s">
        <v>645</v>
      </c>
      <c r="C143" s="39" t="s">
        <v>1274</v>
      </c>
      <c r="D143" s="39" t="s">
        <v>2840</v>
      </c>
      <c r="E143" s="48" t="s">
        <v>1275</v>
      </c>
      <c r="F143" s="49" t="s">
        <v>2922</v>
      </c>
      <c r="G143" s="39" t="s">
        <v>2842</v>
      </c>
    </row>
    <row r="144" customFormat="false" ht="18" hidden="false" customHeight="true" outlineLevel="0" collapsed="false">
      <c r="A144" s="47" t="n">
        <v>143</v>
      </c>
      <c r="B144" s="39" t="s">
        <v>645</v>
      </c>
      <c r="C144" s="39" t="s">
        <v>1274</v>
      </c>
      <c r="D144" s="39" t="s">
        <v>100</v>
      </c>
      <c r="E144" s="48" t="s">
        <v>1276</v>
      </c>
      <c r="F144" s="49" t="s">
        <v>643</v>
      </c>
      <c r="G144" s="39" t="s">
        <v>2870</v>
      </c>
    </row>
    <row r="145" customFormat="false" ht="18" hidden="false" customHeight="true" outlineLevel="0" collapsed="false">
      <c r="A145" s="47" t="n">
        <v>144</v>
      </c>
      <c r="B145" s="39" t="s">
        <v>645</v>
      </c>
      <c r="C145" s="39" t="s">
        <v>1274</v>
      </c>
      <c r="D145" s="39" t="s">
        <v>101</v>
      </c>
      <c r="E145" s="48" t="s">
        <v>1277</v>
      </c>
      <c r="F145" s="49" t="s">
        <v>644</v>
      </c>
      <c r="G145" s="39" t="s">
        <v>2843</v>
      </c>
    </row>
    <row r="146" customFormat="false" ht="18" hidden="false" customHeight="true" outlineLevel="0" collapsed="false">
      <c r="A146" s="47" t="n">
        <v>145</v>
      </c>
      <c r="B146" s="39" t="s">
        <v>645</v>
      </c>
      <c r="C146" s="39" t="s">
        <v>1274</v>
      </c>
      <c r="D146" s="39" t="s">
        <v>2845</v>
      </c>
      <c r="E146" s="48" t="s">
        <v>1278</v>
      </c>
      <c r="F146" s="49" t="s">
        <v>2923</v>
      </c>
      <c r="G146" s="39" t="s">
        <v>2847</v>
      </c>
    </row>
    <row r="147" customFormat="false" ht="18" hidden="false" customHeight="true" outlineLevel="0" collapsed="false">
      <c r="A147" s="47" t="n">
        <v>146</v>
      </c>
      <c r="B147" s="39" t="s">
        <v>645</v>
      </c>
      <c r="C147" s="39" t="s">
        <v>1274</v>
      </c>
      <c r="D147" s="39" t="s">
        <v>2848</v>
      </c>
      <c r="E147" s="48" t="s">
        <v>1279</v>
      </c>
      <c r="F147" s="49" t="s">
        <v>2924</v>
      </c>
      <c r="G147" s="39" t="s">
        <v>2847</v>
      </c>
    </row>
    <row r="148" customFormat="false" ht="18" hidden="false" customHeight="true" outlineLevel="0" collapsed="false">
      <c r="A148" s="47" t="n">
        <v>147</v>
      </c>
      <c r="B148" s="39" t="s">
        <v>645</v>
      </c>
      <c r="C148" s="39" t="s">
        <v>1274</v>
      </c>
      <c r="D148" s="39" t="s">
        <v>2850</v>
      </c>
      <c r="E148" s="48" t="s">
        <v>1281</v>
      </c>
      <c r="F148" s="49" t="s">
        <v>2925</v>
      </c>
      <c r="G148" s="39" t="s">
        <v>2852</v>
      </c>
    </row>
    <row r="149" customFormat="false" ht="18" hidden="false" customHeight="true" outlineLevel="0" collapsed="false">
      <c r="A149" s="47" t="n">
        <v>148</v>
      </c>
      <c r="B149" s="39" t="s">
        <v>645</v>
      </c>
      <c r="C149" s="39" t="s">
        <v>1274</v>
      </c>
      <c r="D149" s="39" t="s">
        <v>109</v>
      </c>
      <c r="E149" s="48" t="s">
        <v>1110</v>
      </c>
      <c r="F149" s="49" t="s">
        <v>151</v>
      </c>
      <c r="G149" s="39" t="s">
        <v>2853</v>
      </c>
    </row>
    <row r="150" customFormat="false" ht="18" hidden="false" customHeight="true" outlineLevel="0" collapsed="false">
      <c r="A150" s="47" t="n">
        <v>149</v>
      </c>
      <c r="B150" s="39" t="s">
        <v>506</v>
      </c>
      <c r="C150" s="39" t="s">
        <v>1282</v>
      </c>
      <c r="D150" s="39" t="s">
        <v>100</v>
      </c>
      <c r="E150" s="48" t="s">
        <v>1284</v>
      </c>
      <c r="F150" s="49" t="s">
        <v>504</v>
      </c>
      <c r="G150" s="39" t="s">
        <v>2878</v>
      </c>
    </row>
    <row r="151" customFormat="false" ht="18" hidden="false" customHeight="true" outlineLevel="0" collapsed="false">
      <c r="A151" s="47" t="n">
        <v>150</v>
      </c>
      <c r="B151" s="39" t="s">
        <v>506</v>
      </c>
      <c r="C151" s="39" t="s">
        <v>1282</v>
      </c>
      <c r="D151" s="39" t="s">
        <v>2845</v>
      </c>
      <c r="E151" s="48" t="s">
        <v>1285</v>
      </c>
      <c r="F151" s="49" t="s">
        <v>2926</v>
      </c>
      <c r="G151" s="39" t="s">
        <v>2847</v>
      </c>
    </row>
    <row r="152" customFormat="false" ht="18" hidden="false" customHeight="true" outlineLevel="0" collapsed="false">
      <c r="A152" s="47" t="n">
        <v>151</v>
      </c>
      <c r="B152" s="39" t="s">
        <v>506</v>
      </c>
      <c r="C152" s="39" t="s">
        <v>1282</v>
      </c>
      <c r="D152" s="39" t="s">
        <v>2848</v>
      </c>
      <c r="E152" s="48" t="s">
        <v>1230</v>
      </c>
      <c r="F152" s="49" t="s">
        <v>2903</v>
      </c>
      <c r="G152" s="39" t="s">
        <v>2847</v>
      </c>
    </row>
    <row r="153" customFormat="false" ht="18" hidden="false" customHeight="true" outlineLevel="0" collapsed="false">
      <c r="A153" s="47" t="n">
        <v>152</v>
      </c>
      <c r="B153" s="39" t="s">
        <v>506</v>
      </c>
      <c r="C153" s="39" t="s">
        <v>1282</v>
      </c>
      <c r="D153" s="39" t="s">
        <v>2850</v>
      </c>
      <c r="E153" s="48" t="s">
        <v>1286</v>
      </c>
      <c r="F153" s="49" t="s">
        <v>2927</v>
      </c>
      <c r="G153" s="39" t="s">
        <v>2852</v>
      </c>
    </row>
    <row r="154" customFormat="false" ht="18" hidden="false" customHeight="true" outlineLevel="0" collapsed="false">
      <c r="A154" s="47" t="n">
        <v>153</v>
      </c>
      <c r="B154" s="39" t="s">
        <v>506</v>
      </c>
      <c r="C154" s="39" t="s">
        <v>1282</v>
      </c>
      <c r="D154" s="39" t="s">
        <v>109</v>
      </c>
      <c r="E154" s="48" t="s">
        <v>1110</v>
      </c>
      <c r="F154" s="49" t="s">
        <v>151</v>
      </c>
      <c r="G154" s="39" t="s">
        <v>2853</v>
      </c>
    </row>
    <row r="155" customFormat="false" ht="18" hidden="false" customHeight="true" outlineLevel="0" collapsed="false">
      <c r="A155" s="47" t="n">
        <v>154</v>
      </c>
      <c r="B155" s="39" t="s">
        <v>1287</v>
      </c>
      <c r="C155" s="39" t="s">
        <v>1288</v>
      </c>
      <c r="D155" s="39" t="s">
        <v>2840</v>
      </c>
      <c r="E155" s="48" t="s">
        <v>1289</v>
      </c>
      <c r="F155" s="49" t="s">
        <v>2117</v>
      </c>
      <c r="G155" s="39" t="s">
        <v>2842</v>
      </c>
    </row>
    <row r="156" customFormat="false" ht="18" hidden="false" customHeight="true" outlineLevel="0" collapsed="false">
      <c r="A156" s="47" t="n">
        <v>155</v>
      </c>
      <c r="B156" s="39" t="s">
        <v>1287</v>
      </c>
      <c r="C156" s="39" t="s">
        <v>1288</v>
      </c>
      <c r="D156" s="39" t="s">
        <v>101</v>
      </c>
      <c r="E156" s="48" t="s">
        <v>1290</v>
      </c>
      <c r="F156" s="49" t="s">
        <v>525</v>
      </c>
      <c r="G156" s="39" t="s">
        <v>2843</v>
      </c>
    </row>
    <row r="157" customFormat="false" ht="18" hidden="false" customHeight="true" outlineLevel="0" collapsed="false">
      <c r="A157" s="47" t="n">
        <v>156</v>
      </c>
      <c r="B157" s="39" t="s">
        <v>1287</v>
      </c>
      <c r="C157" s="39" t="s">
        <v>1288</v>
      </c>
      <c r="D157" s="39" t="s">
        <v>102</v>
      </c>
      <c r="E157" s="48" t="s">
        <v>1146</v>
      </c>
      <c r="F157" s="49" t="s">
        <v>137</v>
      </c>
      <c r="G157" s="39" t="s">
        <v>2844</v>
      </c>
    </row>
    <row r="158" customFormat="false" ht="18" hidden="false" customHeight="true" outlineLevel="0" collapsed="false">
      <c r="A158" s="47" t="n">
        <v>157</v>
      </c>
      <c r="B158" s="39" t="s">
        <v>1287</v>
      </c>
      <c r="C158" s="39" t="s">
        <v>1288</v>
      </c>
      <c r="D158" s="39" t="s">
        <v>2845</v>
      </c>
      <c r="E158" s="48" t="s">
        <v>1291</v>
      </c>
      <c r="F158" s="49" t="s">
        <v>2928</v>
      </c>
      <c r="G158" s="39" t="s">
        <v>2847</v>
      </c>
    </row>
    <row r="159" customFormat="false" ht="18" hidden="false" customHeight="true" outlineLevel="0" collapsed="false">
      <c r="A159" s="47" t="n">
        <v>158</v>
      </c>
      <c r="B159" s="39" t="s">
        <v>1287</v>
      </c>
      <c r="C159" s="39" t="s">
        <v>1288</v>
      </c>
      <c r="D159" s="39" t="s">
        <v>2848</v>
      </c>
      <c r="E159" s="48" t="s">
        <v>1292</v>
      </c>
      <c r="F159" s="49" t="s">
        <v>2929</v>
      </c>
      <c r="G159" s="39" t="s">
        <v>2847</v>
      </c>
    </row>
    <row r="160" customFormat="false" ht="18" hidden="false" customHeight="true" outlineLevel="0" collapsed="false">
      <c r="A160" s="47" t="n">
        <v>159</v>
      </c>
      <c r="B160" s="39" t="s">
        <v>1287</v>
      </c>
      <c r="C160" s="39" t="s">
        <v>1288</v>
      </c>
      <c r="D160" s="39" t="s">
        <v>2850</v>
      </c>
      <c r="E160" s="48" t="s">
        <v>1293</v>
      </c>
      <c r="F160" s="49" t="s">
        <v>2930</v>
      </c>
      <c r="G160" s="39" t="s">
        <v>2852</v>
      </c>
    </row>
    <row r="161" customFormat="false" ht="18" hidden="false" customHeight="true" outlineLevel="0" collapsed="false">
      <c r="A161" s="47" t="n">
        <v>160</v>
      </c>
      <c r="B161" s="39" t="s">
        <v>1287</v>
      </c>
      <c r="C161" s="39" t="s">
        <v>1288</v>
      </c>
      <c r="D161" s="39" t="s">
        <v>109</v>
      </c>
      <c r="E161" s="48" t="s">
        <v>1110</v>
      </c>
      <c r="F161" s="49" t="s">
        <v>151</v>
      </c>
      <c r="G161" s="39" t="s">
        <v>2853</v>
      </c>
    </row>
    <row r="162" customFormat="false" ht="18" hidden="false" customHeight="true" outlineLevel="0" collapsed="false">
      <c r="A162" s="47" t="n">
        <v>161</v>
      </c>
      <c r="B162" s="39" t="s">
        <v>1294</v>
      </c>
      <c r="C162" s="39" t="s">
        <v>1295</v>
      </c>
      <c r="D162" s="39" t="s">
        <v>101</v>
      </c>
      <c r="E162" s="48" t="s">
        <v>1297</v>
      </c>
      <c r="F162" s="49" t="s">
        <v>535</v>
      </c>
      <c r="G162" s="39" t="s">
        <v>2843</v>
      </c>
    </row>
    <row r="163" customFormat="false" ht="18" hidden="false" customHeight="true" outlineLevel="0" collapsed="false">
      <c r="A163" s="47" t="n">
        <v>162</v>
      </c>
      <c r="B163" s="39" t="s">
        <v>1294</v>
      </c>
      <c r="C163" s="39" t="s">
        <v>1295</v>
      </c>
      <c r="D163" s="39" t="s">
        <v>102</v>
      </c>
      <c r="E163" s="48" t="s">
        <v>1298</v>
      </c>
      <c r="F163" s="49" t="s">
        <v>324</v>
      </c>
      <c r="G163" s="39" t="s">
        <v>2844</v>
      </c>
    </row>
    <row r="164" customFormat="false" ht="18" hidden="false" customHeight="true" outlineLevel="0" collapsed="false">
      <c r="A164" s="47" t="n">
        <v>163</v>
      </c>
      <c r="B164" s="39" t="s">
        <v>1294</v>
      </c>
      <c r="C164" s="39" t="s">
        <v>1295</v>
      </c>
      <c r="D164" s="39" t="s">
        <v>77</v>
      </c>
      <c r="E164" s="48" t="s">
        <v>1216</v>
      </c>
      <c r="F164" s="49" t="s">
        <v>80</v>
      </c>
      <c r="G164" s="39" t="s">
        <v>2863</v>
      </c>
    </row>
    <row r="165" customFormat="false" ht="18" hidden="false" customHeight="true" outlineLevel="0" collapsed="false">
      <c r="A165" s="47" t="n">
        <v>164</v>
      </c>
      <c r="B165" s="39" t="s">
        <v>1294</v>
      </c>
      <c r="C165" s="39" t="s">
        <v>1295</v>
      </c>
      <c r="D165" s="39" t="s">
        <v>2845</v>
      </c>
      <c r="E165" s="48" t="s">
        <v>1299</v>
      </c>
      <c r="F165" s="49" t="s">
        <v>2931</v>
      </c>
      <c r="G165" s="39" t="s">
        <v>2847</v>
      </c>
    </row>
    <row r="166" customFormat="false" ht="18" hidden="false" customHeight="true" outlineLevel="0" collapsed="false">
      <c r="A166" s="47" t="n">
        <v>165</v>
      </c>
      <c r="B166" s="39" t="s">
        <v>1294</v>
      </c>
      <c r="C166" s="39" t="s">
        <v>1295</v>
      </c>
      <c r="D166" s="39" t="s">
        <v>2848</v>
      </c>
      <c r="E166" s="48" t="s">
        <v>1300</v>
      </c>
      <c r="F166" s="49" t="s">
        <v>2932</v>
      </c>
      <c r="G166" s="39" t="s">
        <v>2847</v>
      </c>
    </row>
    <row r="167" customFormat="false" ht="18" hidden="false" customHeight="true" outlineLevel="0" collapsed="false">
      <c r="A167" s="47" t="n">
        <v>166</v>
      </c>
      <c r="B167" s="39" t="s">
        <v>1294</v>
      </c>
      <c r="C167" s="39" t="s">
        <v>1295</v>
      </c>
      <c r="D167" s="39" t="s">
        <v>2850</v>
      </c>
      <c r="E167" s="48" t="s">
        <v>1301</v>
      </c>
      <c r="F167" s="49" t="s">
        <v>2933</v>
      </c>
      <c r="G167" s="39" t="s">
        <v>2852</v>
      </c>
    </row>
    <row r="168" customFormat="false" ht="18" hidden="false" customHeight="true" outlineLevel="0" collapsed="false">
      <c r="A168" s="47" t="n">
        <v>167</v>
      </c>
      <c r="B168" s="39" t="s">
        <v>1294</v>
      </c>
      <c r="C168" s="39" t="s">
        <v>1295</v>
      </c>
      <c r="D168" s="39" t="s">
        <v>109</v>
      </c>
      <c r="E168" s="48" t="s">
        <v>1132</v>
      </c>
      <c r="F168" s="49" t="s">
        <v>130</v>
      </c>
      <c r="G168" s="39" t="s">
        <v>2853</v>
      </c>
    </row>
    <row r="169" customFormat="false" ht="18" hidden="false" customHeight="true" outlineLevel="0" collapsed="false">
      <c r="A169" s="47" t="n">
        <v>168</v>
      </c>
      <c r="B169" s="39" t="s">
        <v>331</v>
      </c>
      <c r="C169" s="39" t="s">
        <v>1302</v>
      </c>
      <c r="D169" s="39" t="s">
        <v>101</v>
      </c>
      <c r="E169" s="48" t="s">
        <v>1304</v>
      </c>
      <c r="F169" s="49" t="s">
        <v>330</v>
      </c>
      <c r="G169" s="39" t="s">
        <v>2843</v>
      </c>
    </row>
    <row r="170" customFormat="false" ht="18" hidden="false" customHeight="true" outlineLevel="0" collapsed="false">
      <c r="A170" s="47" t="n">
        <v>169</v>
      </c>
      <c r="B170" s="39" t="s">
        <v>331</v>
      </c>
      <c r="C170" s="39" t="s">
        <v>1302</v>
      </c>
      <c r="D170" s="39" t="s">
        <v>77</v>
      </c>
      <c r="E170" s="48" t="s">
        <v>1236</v>
      </c>
      <c r="F170" s="49" t="s">
        <v>80</v>
      </c>
      <c r="G170" s="39" t="s">
        <v>2863</v>
      </c>
    </row>
    <row r="171" customFormat="false" ht="18" hidden="false" customHeight="true" outlineLevel="0" collapsed="false">
      <c r="A171" s="47" t="n">
        <v>170</v>
      </c>
      <c r="B171" s="39" t="s">
        <v>331</v>
      </c>
      <c r="C171" s="39" t="s">
        <v>1302</v>
      </c>
      <c r="D171" s="39" t="s">
        <v>2845</v>
      </c>
      <c r="E171" s="48" t="s">
        <v>1305</v>
      </c>
      <c r="F171" s="49" t="s">
        <v>2934</v>
      </c>
      <c r="G171" s="39" t="s">
        <v>2847</v>
      </c>
    </row>
    <row r="172" customFormat="false" ht="18" hidden="false" customHeight="true" outlineLevel="0" collapsed="false">
      <c r="A172" s="47" t="n">
        <v>171</v>
      </c>
      <c r="B172" s="39" t="s">
        <v>331</v>
      </c>
      <c r="C172" s="39" t="s">
        <v>1302</v>
      </c>
      <c r="D172" s="39" t="s">
        <v>2848</v>
      </c>
      <c r="E172" s="48" t="s">
        <v>1306</v>
      </c>
      <c r="F172" s="49" t="s">
        <v>2935</v>
      </c>
      <c r="G172" s="39" t="s">
        <v>2847</v>
      </c>
    </row>
    <row r="173" customFormat="false" ht="18" hidden="false" customHeight="true" outlineLevel="0" collapsed="false">
      <c r="A173" s="47" t="n">
        <v>172</v>
      </c>
      <c r="B173" s="39" t="s">
        <v>331</v>
      </c>
      <c r="C173" s="39" t="s">
        <v>1302</v>
      </c>
      <c r="D173" s="39" t="s">
        <v>2850</v>
      </c>
      <c r="E173" s="48" t="s">
        <v>1308</v>
      </c>
      <c r="F173" s="49" t="s">
        <v>2936</v>
      </c>
      <c r="G173" s="39" t="s">
        <v>2852</v>
      </c>
    </row>
    <row r="174" customFormat="false" ht="18" hidden="false" customHeight="true" outlineLevel="0" collapsed="false">
      <c r="A174" s="47" t="n">
        <v>173</v>
      </c>
      <c r="B174" s="39" t="s">
        <v>331</v>
      </c>
      <c r="C174" s="39" t="s">
        <v>1302</v>
      </c>
      <c r="D174" s="39" t="s">
        <v>109</v>
      </c>
      <c r="E174" s="48" t="s">
        <v>1132</v>
      </c>
      <c r="F174" s="49" t="s">
        <v>130</v>
      </c>
      <c r="G174" s="39" t="s">
        <v>2853</v>
      </c>
    </row>
    <row r="175" customFormat="false" ht="18" hidden="false" customHeight="true" outlineLevel="0" collapsed="false">
      <c r="A175" s="47" t="n">
        <v>174</v>
      </c>
      <c r="B175" s="39" t="s">
        <v>202</v>
      </c>
      <c r="C175" s="39" t="s">
        <v>1309</v>
      </c>
      <c r="D175" s="39" t="s">
        <v>101</v>
      </c>
      <c r="E175" s="48" t="s">
        <v>1311</v>
      </c>
      <c r="F175" s="49" t="s">
        <v>201</v>
      </c>
      <c r="G175" s="39" t="s">
        <v>2843</v>
      </c>
    </row>
    <row r="176" customFormat="false" ht="18" hidden="false" customHeight="true" outlineLevel="0" collapsed="false">
      <c r="A176" s="47" t="n">
        <v>175</v>
      </c>
      <c r="B176" s="39" t="s">
        <v>202</v>
      </c>
      <c r="C176" s="39" t="s">
        <v>1309</v>
      </c>
      <c r="D176" s="39" t="s">
        <v>102</v>
      </c>
      <c r="E176" s="48" t="s">
        <v>1172</v>
      </c>
      <c r="F176" s="49" t="s">
        <v>128</v>
      </c>
      <c r="G176" s="39" t="s">
        <v>2844</v>
      </c>
    </row>
    <row r="177" customFormat="false" ht="18" hidden="false" customHeight="true" outlineLevel="0" collapsed="false">
      <c r="A177" s="47" t="n">
        <v>176</v>
      </c>
      <c r="B177" s="39" t="s">
        <v>202</v>
      </c>
      <c r="C177" s="39" t="s">
        <v>1309</v>
      </c>
      <c r="D177" s="39" t="s">
        <v>77</v>
      </c>
      <c r="E177" s="48" t="s">
        <v>1243</v>
      </c>
      <c r="F177" s="49" t="s">
        <v>79</v>
      </c>
      <c r="G177" s="39" t="s">
        <v>2863</v>
      </c>
    </row>
    <row r="178" customFormat="false" ht="18" hidden="false" customHeight="true" outlineLevel="0" collapsed="false">
      <c r="A178" s="47" t="n">
        <v>177</v>
      </c>
      <c r="B178" s="39" t="s">
        <v>202</v>
      </c>
      <c r="C178" s="39" t="s">
        <v>1309</v>
      </c>
      <c r="D178" s="39" t="s">
        <v>2845</v>
      </c>
      <c r="E178" s="48" t="s">
        <v>1312</v>
      </c>
      <c r="F178" s="49" t="s">
        <v>2937</v>
      </c>
      <c r="G178" s="39" t="s">
        <v>2847</v>
      </c>
    </row>
    <row r="179" customFormat="false" ht="18" hidden="false" customHeight="true" outlineLevel="0" collapsed="false">
      <c r="A179" s="47" t="n">
        <v>178</v>
      </c>
      <c r="B179" s="39" t="s">
        <v>202</v>
      </c>
      <c r="C179" s="39" t="s">
        <v>1309</v>
      </c>
      <c r="D179" s="39" t="s">
        <v>2848</v>
      </c>
      <c r="E179" s="48" t="s">
        <v>1313</v>
      </c>
      <c r="F179" s="49" t="s">
        <v>2938</v>
      </c>
      <c r="G179" s="39" t="s">
        <v>2847</v>
      </c>
    </row>
    <row r="180" customFormat="false" ht="18" hidden="false" customHeight="true" outlineLevel="0" collapsed="false">
      <c r="A180" s="47" t="n">
        <v>179</v>
      </c>
      <c r="B180" s="39" t="s">
        <v>202</v>
      </c>
      <c r="C180" s="39" t="s">
        <v>1309</v>
      </c>
      <c r="D180" s="39" t="s">
        <v>2850</v>
      </c>
      <c r="E180" s="48" t="s">
        <v>1314</v>
      </c>
      <c r="F180" s="49" t="s">
        <v>2939</v>
      </c>
      <c r="G180" s="39" t="s">
        <v>2852</v>
      </c>
    </row>
    <row r="181" customFormat="false" ht="18" hidden="false" customHeight="true" outlineLevel="0" collapsed="false">
      <c r="A181" s="47" t="n">
        <v>180</v>
      </c>
      <c r="B181" s="39" t="s">
        <v>202</v>
      </c>
      <c r="C181" s="39" t="s">
        <v>1309</v>
      </c>
      <c r="D181" s="39" t="s">
        <v>109</v>
      </c>
      <c r="E181" s="48" t="s">
        <v>1110</v>
      </c>
      <c r="F181" s="49" t="s">
        <v>151</v>
      </c>
      <c r="G181" s="39" t="s">
        <v>2853</v>
      </c>
    </row>
    <row r="182" customFormat="false" ht="18" hidden="false" customHeight="true" outlineLevel="0" collapsed="false">
      <c r="A182" s="47" t="n">
        <v>181</v>
      </c>
      <c r="B182" s="39" t="s">
        <v>1315</v>
      </c>
      <c r="C182" s="39" t="s">
        <v>1316</v>
      </c>
      <c r="D182" s="39" t="s">
        <v>102</v>
      </c>
      <c r="E182" s="48" t="s">
        <v>1172</v>
      </c>
      <c r="F182" s="49" t="s">
        <v>128</v>
      </c>
      <c r="G182" s="39" t="s">
        <v>2844</v>
      </c>
    </row>
    <row r="183" customFormat="false" ht="18" hidden="false" customHeight="true" outlineLevel="0" collapsed="false">
      <c r="A183" s="47" t="n">
        <v>182</v>
      </c>
      <c r="B183" s="39" t="s">
        <v>1315</v>
      </c>
      <c r="C183" s="39" t="s">
        <v>1316</v>
      </c>
      <c r="D183" s="39" t="s">
        <v>2845</v>
      </c>
      <c r="E183" s="48" t="s">
        <v>1318</v>
      </c>
      <c r="F183" s="49" t="s">
        <v>2940</v>
      </c>
      <c r="G183" s="39" t="s">
        <v>2847</v>
      </c>
    </row>
    <row r="184" customFormat="false" ht="18" hidden="false" customHeight="true" outlineLevel="0" collapsed="false">
      <c r="A184" s="47" t="n">
        <v>183</v>
      </c>
      <c r="B184" s="39" t="s">
        <v>1315</v>
      </c>
      <c r="C184" s="39" t="s">
        <v>1316</v>
      </c>
      <c r="D184" s="39" t="s">
        <v>2848</v>
      </c>
      <c r="E184" s="48" t="s">
        <v>1319</v>
      </c>
      <c r="F184" s="49" t="s">
        <v>2941</v>
      </c>
      <c r="G184" s="39" t="s">
        <v>2847</v>
      </c>
    </row>
    <row r="185" customFormat="false" ht="18" hidden="false" customHeight="true" outlineLevel="0" collapsed="false">
      <c r="A185" s="47" t="n">
        <v>184</v>
      </c>
      <c r="B185" s="39" t="s">
        <v>1315</v>
      </c>
      <c r="C185" s="39" t="s">
        <v>1316</v>
      </c>
      <c r="D185" s="39" t="s">
        <v>2850</v>
      </c>
      <c r="E185" s="48" t="s">
        <v>1320</v>
      </c>
      <c r="F185" s="49" t="s">
        <v>2942</v>
      </c>
      <c r="G185" s="39" t="s">
        <v>2852</v>
      </c>
    </row>
    <row r="186" customFormat="false" ht="18" hidden="false" customHeight="true" outlineLevel="0" collapsed="false">
      <c r="A186" s="47" t="n">
        <v>185</v>
      </c>
      <c r="B186" s="39" t="s">
        <v>1315</v>
      </c>
      <c r="C186" s="39" t="s">
        <v>1316</v>
      </c>
      <c r="D186" s="39" t="s">
        <v>109</v>
      </c>
      <c r="E186" s="48" t="s">
        <v>1110</v>
      </c>
      <c r="F186" s="49" t="s">
        <v>151</v>
      </c>
      <c r="G186" s="39" t="s">
        <v>2853</v>
      </c>
    </row>
    <row r="187" customFormat="false" ht="18" hidden="false" customHeight="true" outlineLevel="0" collapsed="false">
      <c r="A187" s="47" t="n">
        <v>186</v>
      </c>
      <c r="B187" s="39" t="s">
        <v>364</v>
      </c>
      <c r="C187" s="39" t="s">
        <v>1321</v>
      </c>
      <c r="D187" s="39" t="s">
        <v>101</v>
      </c>
      <c r="E187" s="48" t="s">
        <v>1323</v>
      </c>
      <c r="F187" s="49" t="s">
        <v>363</v>
      </c>
      <c r="G187" s="39" t="s">
        <v>2843</v>
      </c>
    </row>
    <row r="188" customFormat="false" ht="18" hidden="false" customHeight="true" outlineLevel="0" collapsed="false">
      <c r="A188" s="47" t="n">
        <v>187</v>
      </c>
      <c r="B188" s="39" t="s">
        <v>364</v>
      </c>
      <c r="C188" s="39" t="s">
        <v>1321</v>
      </c>
      <c r="D188" s="39" t="s">
        <v>102</v>
      </c>
      <c r="E188" s="48" t="s">
        <v>1201</v>
      </c>
      <c r="F188" s="49" t="s">
        <v>128</v>
      </c>
      <c r="G188" s="39" t="s">
        <v>2844</v>
      </c>
    </row>
    <row r="189" customFormat="false" ht="18" hidden="false" customHeight="true" outlineLevel="0" collapsed="false">
      <c r="A189" s="47" t="n">
        <v>188</v>
      </c>
      <c r="B189" s="39" t="s">
        <v>364</v>
      </c>
      <c r="C189" s="39" t="s">
        <v>1321</v>
      </c>
      <c r="D189" s="39" t="s">
        <v>77</v>
      </c>
      <c r="E189" s="48" t="s">
        <v>1173</v>
      </c>
      <c r="F189" s="49" t="s">
        <v>79</v>
      </c>
      <c r="G189" s="39" t="s">
        <v>2863</v>
      </c>
    </row>
    <row r="190" customFormat="false" ht="18" hidden="false" customHeight="true" outlineLevel="0" collapsed="false">
      <c r="A190" s="47" t="n">
        <v>189</v>
      </c>
      <c r="B190" s="39" t="s">
        <v>364</v>
      </c>
      <c r="C190" s="39" t="s">
        <v>1321</v>
      </c>
      <c r="D190" s="39" t="s">
        <v>2845</v>
      </c>
      <c r="E190" s="48" t="s">
        <v>1324</v>
      </c>
      <c r="F190" s="49" t="s">
        <v>2943</v>
      </c>
      <c r="G190" s="39" t="s">
        <v>2847</v>
      </c>
    </row>
    <row r="191" customFormat="false" ht="18" hidden="false" customHeight="true" outlineLevel="0" collapsed="false">
      <c r="A191" s="47" t="n">
        <v>190</v>
      </c>
      <c r="B191" s="39" t="s">
        <v>364</v>
      </c>
      <c r="C191" s="39" t="s">
        <v>1321</v>
      </c>
      <c r="D191" s="39" t="s">
        <v>2848</v>
      </c>
      <c r="E191" s="48" t="s">
        <v>1325</v>
      </c>
      <c r="F191" s="49" t="s">
        <v>2944</v>
      </c>
      <c r="G191" s="39" t="s">
        <v>2847</v>
      </c>
    </row>
    <row r="192" customFormat="false" ht="18" hidden="false" customHeight="true" outlineLevel="0" collapsed="false">
      <c r="A192" s="47" t="n">
        <v>191</v>
      </c>
      <c r="B192" s="39" t="s">
        <v>364</v>
      </c>
      <c r="C192" s="39" t="s">
        <v>1321</v>
      </c>
      <c r="D192" s="39" t="s">
        <v>2850</v>
      </c>
      <c r="E192" s="48" t="s">
        <v>1326</v>
      </c>
      <c r="F192" s="49" t="s">
        <v>2945</v>
      </c>
      <c r="G192" s="39" t="s">
        <v>2852</v>
      </c>
    </row>
    <row r="193" customFormat="false" ht="18" hidden="false" customHeight="true" outlineLevel="0" collapsed="false">
      <c r="A193" s="47" t="n">
        <v>192</v>
      </c>
      <c r="B193" s="39" t="s">
        <v>364</v>
      </c>
      <c r="C193" s="39" t="s">
        <v>1321</v>
      </c>
      <c r="D193" s="39" t="s">
        <v>109</v>
      </c>
      <c r="E193" s="48" t="s">
        <v>1132</v>
      </c>
      <c r="F193" s="49" t="s">
        <v>130</v>
      </c>
      <c r="G193" s="39" t="s">
        <v>2853</v>
      </c>
    </row>
    <row r="194" customFormat="false" ht="18" hidden="false" customHeight="true" outlineLevel="0" collapsed="false">
      <c r="A194" s="47" t="n">
        <v>193</v>
      </c>
      <c r="B194" s="39" t="s">
        <v>1327</v>
      </c>
      <c r="C194" s="39" t="s">
        <v>1328</v>
      </c>
      <c r="D194" s="39" t="s">
        <v>102</v>
      </c>
      <c r="E194" s="48" t="s">
        <v>1298</v>
      </c>
      <c r="F194" s="49" t="s">
        <v>324</v>
      </c>
      <c r="G194" s="39" t="s">
        <v>2844</v>
      </c>
    </row>
    <row r="195" customFormat="false" ht="18" hidden="false" customHeight="true" outlineLevel="0" collapsed="false">
      <c r="A195" s="47" t="n">
        <v>194</v>
      </c>
      <c r="B195" s="39" t="s">
        <v>1327</v>
      </c>
      <c r="C195" s="39" t="s">
        <v>1328</v>
      </c>
      <c r="D195" s="39" t="s">
        <v>77</v>
      </c>
      <c r="E195" s="48" t="s">
        <v>1330</v>
      </c>
      <c r="F195" s="49" t="s">
        <v>80</v>
      </c>
      <c r="G195" s="39" t="s">
        <v>2863</v>
      </c>
    </row>
    <row r="196" customFormat="false" ht="18" hidden="false" customHeight="true" outlineLevel="0" collapsed="false">
      <c r="A196" s="47" t="n">
        <v>195</v>
      </c>
      <c r="B196" s="39" t="s">
        <v>1327</v>
      </c>
      <c r="C196" s="39" t="s">
        <v>1328</v>
      </c>
      <c r="D196" s="39" t="s">
        <v>2845</v>
      </c>
      <c r="E196" s="48" t="s">
        <v>1331</v>
      </c>
      <c r="F196" s="49" t="s">
        <v>2946</v>
      </c>
      <c r="G196" s="39" t="s">
        <v>2847</v>
      </c>
    </row>
    <row r="197" customFormat="false" ht="18" hidden="false" customHeight="true" outlineLevel="0" collapsed="false">
      <c r="A197" s="47" t="n">
        <v>196</v>
      </c>
      <c r="B197" s="39" t="s">
        <v>1327</v>
      </c>
      <c r="C197" s="39" t="s">
        <v>1328</v>
      </c>
      <c r="D197" s="39" t="s">
        <v>2848</v>
      </c>
      <c r="E197" s="48" t="s">
        <v>1332</v>
      </c>
      <c r="F197" s="49" t="s">
        <v>2947</v>
      </c>
      <c r="G197" s="39" t="s">
        <v>2847</v>
      </c>
    </row>
    <row r="198" customFormat="false" ht="18" hidden="false" customHeight="true" outlineLevel="0" collapsed="false">
      <c r="A198" s="47" t="n">
        <v>197</v>
      </c>
      <c r="B198" s="39" t="s">
        <v>1327</v>
      </c>
      <c r="C198" s="39" t="s">
        <v>1328</v>
      </c>
      <c r="D198" s="39" t="s">
        <v>2850</v>
      </c>
      <c r="E198" s="48" t="s">
        <v>1333</v>
      </c>
      <c r="F198" s="49" t="s">
        <v>2603</v>
      </c>
      <c r="G198" s="39" t="s">
        <v>2852</v>
      </c>
    </row>
    <row r="199" customFormat="false" ht="18" hidden="false" customHeight="true" outlineLevel="0" collapsed="false">
      <c r="A199" s="47" t="n">
        <v>198</v>
      </c>
      <c r="B199" s="39" t="s">
        <v>1327</v>
      </c>
      <c r="C199" s="39" t="s">
        <v>1328</v>
      </c>
      <c r="D199" s="39" t="s">
        <v>109</v>
      </c>
      <c r="E199" s="48" t="s">
        <v>1110</v>
      </c>
      <c r="F199" s="49" t="s">
        <v>151</v>
      </c>
      <c r="G199" s="39" t="s">
        <v>2853</v>
      </c>
    </row>
    <row r="200" customFormat="false" ht="18" hidden="false" customHeight="true" outlineLevel="0" collapsed="false">
      <c r="A200" s="47" t="n">
        <v>199</v>
      </c>
      <c r="B200" s="39" t="s">
        <v>591</v>
      </c>
      <c r="C200" s="39" t="s">
        <v>1334</v>
      </c>
      <c r="D200" s="39" t="s">
        <v>101</v>
      </c>
      <c r="E200" s="48" t="s">
        <v>1336</v>
      </c>
      <c r="F200" s="49" t="s">
        <v>590</v>
      </c>
      <c r="G200" s="39" t="s">
        <v>2843</v>
      </c>
    </row>
    <row r="201" customFormat="false" ht="18" hidden="false" customHeight="true" outlineLevel="0" collapsed="false">
      <c r="A201" s="47" t="n">
        <v>200</v>
      </c>
      <c r="B201" s="39" t="s">
        <v>591</v>
      </c>
      <c r="C201" s="39" t="s">
        <v>1334</v>
      </c>
      <c r="D201" s="39" t="s">
        <v>102</v>
      </c>
      <c r="E201" s="48" t="s">
        <v>1337</v>
      </c>
      <c r="F201" s="49" t="s">
        <v>128</v>
      </c>
      <c r="G201" s="39" t="s">
        <v>2844</v>
      </c>
    </row>
    <row r="202" customFormat="false" ht="18" hidden="false" customHeight="true" outlineLevel="0" collapsed="false">
      <c r="A202" s="47" t="n">
        <v>201</v>
      </c>
      <c r="B202" s="39" t="s">
        <v>591</v>
      </c>
      <c r="C202" s="39" t="s">
        <v>1334</v>
      </c>
      <c r="D202" s="39" t="s">
        <v>2845</v>
      </c>
      <c r="E202" s="48" t="s">
        <v>1338</v>
      </c>
      <c r="F202" s="49" t="s">
        <v>2948</v>
      </c>
      <c r="G202" s="39" t="s">
        <v>2847</v>
      </c>
    </row>
    <row r="203" customFormat="false" ht="18" hidden="false" customHeight="true" outlineLevel="0" collapsed="false">
      <c r="A203" s="47" t="n">
        <v>202</v>
      </c>
      <c r="B203" s="39" t="s">
        <v>591</v>
      </c>
      <c r="C203" s="39" t="s">
        <v>1334</v>
      </c>
      <c r="D203" s="39" t="s">
        <v>2848</v>
      </c>
      <c r="E203" s="48" t="s">
        <v>1115</v>
      </c>
      <c r="F203" s="49" t="s">
        <v>2855</v>
      </c>
      <c r="G203" s="39" t="s">
        <v>2847</v>
      </c>
    </row>
    <row r="204" customFormat="false" ht="18" hidden="false" customHeight="true" outlineLevel="0" collapsed="false">
      <c r="A204" s="47" t="n">
        <v>203</v>
      </c>
      <c r="B204" s="39" t="s">
        <v>591</v>
      </c>
      <c r="C204" s="39" t="s">
        <v>1334</v>
      </c>
      <c r="D204" s="39" t="s">
        <v>2850</v>
      </c>
      <c r="E204" s="48" t="s">
        <v>1340</v>
      </c>
      <c r="F204" s="49" t="s">
        <v>2949</v>
      </c>
      <c r="G204" s="39" t="s">
        <v>2852</v>
      </c>
    </row>
    <row r="205" customFormat="false" ht="18" hidden="false" customHeight="true" outlineLevel="0" collapsed="false">
      <c r="A205" s="47" t="n">
        <v>204</v>
      </c>
      <c r="B205" s="39" t="s">
        <v>591</v>
      </c>
      <c r="C205" s="39" t="s">
        <v>1334</v>
      </c>
      <c r="D205" s="39" t="s">
        <v>109</v>
      </c>
      <c r="E205" s="48" t="s">
        <v>1110</v>
      </c>
      <c r="F205" s="49" t="s">
        <v>151</v>
      </c>
      <c r="G205" s="39" t="s">
        <v>2853</v>
      </c>
    </row>
    <row r="206" customFormat="false" ht="18" hidden="false" customHeight="true" outlineLevel="0" collapsed="false">
      <c r="A206" s="47" t="n">
        <v>205</v>
      </c>
      <c r="B206" s="39" t="s">
        <v>398</v>
      </c>
      <c r="C206" s="39" t="s">
        <v>1341</v>
      </c>
      <c r="D206" s="39" t="s">
        <v>2845</v>
      </c>
      <c r="E206" s="48" t="s">
        <v>1343</v>
      </c>
      <c r="F206" s="49" t="s">
        <v>2950</v>
      </c>
      <c r="G206" s="39" t="s">
        <v>2847</v>
      </c>
    </row>
    <row r="207" customFormat="false" ht="18" hidden="false" customHeight="true" outlineLevel="0" collapsed="false">
      <c r="A207" s="47" t="n">
        <v>206</v>
      </c>
      <c r="B207" s="39" t="s">
        <v>398</v>
      </c>
      <c r="C207" s="39" t="s">
        <v>1341</v>
      </c>
      <c r="D207" s="39" t="s">
        <v>2848</v>
      </c>
      <c r="E207" s="48" t="s">
        <v>1164</v>
      </c>
      <c r="F207" s="49" t="s">
        <v>2876</v>
      </c>
      <c r="G207" s="39" t="s">
        <v>2847</v>
      </c>
    </row>
    <row r="208" customFormat="false" ht="18" hidden="false" customHeight="true" outlineLevel="0" collapsed="false">
      <c r="A208" s="47" t="n">
        <v>207</v>
      </c>
      <c r="B208" s="39" t="s">
        <v>398</v>
      </c>
      <c r="C208" s="39" t="s">
        <v>1341</v>
      </c>
      <c r="D208" s="39" t="s">
        <v>2850</v>
      </c>
      <c r="E208" s="48" t="s">
        <v>1345</v>
      </c>
      <c r="F208" s="49" t="s">
        <v>2951</v>
      </c>
      <c r="G208" s="39" t="s">
        <v>2852</v>
      </c>
    </row>
    <row r="209" customFormat="false" ht="18" hidden="false" customHeight="true" outlineLevel="0" collapsed="false">
      <c r="A209" s="47" t="n">
        <v>208</v>
      </c>
      <c r="B209" s="39" t="s">
        <v>398</v>
      </c>
      <c r="C209" s="39" t="s">
        <v>1341</v>
      </c>
      <c r="D209" s="39" t="s">
        <v>109</v>
      </c>
      <c r="E209" s="48" t="s">
        <v>1110</v>
      </c>
      <c r="F209" s="49" t="s">
        <v>151</v>
      </c>
      <c r="G209" s="39" t="s">
        <v>2853</v>
      </c>
    </row>
    <row r="210" customFormat="false" ht="18" hidden="false" customHeight="true" outlineLevel="0" collapsed="false">
      <c r="A210" s="47" t="n">
        <v>209</v>
      </c>
      <c r="B210" s="39" t="s">
        <v>1346</v>
      </c>
      <c r="C210" s="39" t="s">
        <v>1347</v>
      </c>
      <c r="D210" s="39" t="s">
        <v>101</v>
      </c>
      <c r="E210" s="48" t="s">
        <v>1349</v>
      </c>
      <c r="F210" s="49" t="s">
        <v>935</v>
      </c>
      <c r="G210" s="39" t="s">
        <v>2843</v>
      </c>
    </row>
    <row r="211" customFormat="false" ht="18" hidden="false" customHeight="true" outlineLevel="0" collapsed="false">
      <c r="A211" s="47" t="n">
        <v>210</v>
      </c>
      <c r="B211" s="39" t="s">
        <v>1346</v>
      </c>
      <c r="C211" s="39" t="s">
        <v>1347</v>
      </c>
      <c r="D211" s="39" t="s">
        <v>102</v>
      </c>
      <c r="E211" s="48" t="s">
        <v>1194</v>
      </c>
      <c r="F211" s="49" t="s">
        <v>128</v>
      </c>
      <c r="G211" s="39" t="s">
        <v>2844</v>
      </c>
    </row>
    <row r="212" customFormat="false" ht="18" hidden="false" customHeight="true" outlineLevel="0" collapsed="false">
      <c r="A212" s="47" t="n">
        <v>211</v>
      </c>
      <c r="B212" s="39" t="s">
        <v>1346</v>
      </c>
      <c r="C212" s="39" t="s">
        <v>1347</v>
      </c>
      <c r="D212" s="39" t="s">
        <v>2845</v>
      </c>
      <c r="E212" s="48" t="s">
        <v>1350</v>
      </c>
      <c r="F212" s="49" t="s">
        <v>2952</v>
      </c>
      <c r="G212" s="39" t="s">
        <v>2847</v>
      </c>
    </row>
    <row r="213" customFormat="false" ht="18" hidden="false" customHeight="true" outlineLevel="0" collapsed="false">
      <c r="A213" s="47" t="n">
        <v>212</v>
      </c>
      <c r="B213" s="39" t="s">
        <v>1346</v>
      </c>
      <c r="C213" s="39" t="s">
        <v>1347</v>
      </c>
      <c r="D213" s="39" t="s">
        <v>2848</v>
      </c>
      <c r="E213" s="48" t="s">
        <v>1351</v>
      </c>
      <c r="F213" s="49" t="s">
        <v>2953</v>
      </c>
      <c r="G213" s="39" t="s">
        <v>2847</v>
      </c>
    </row>
    <row r="214" customFormat="false" ht="18" hidden="false" customHeight="true" outlineLevel="0" collapsed="false">
      <c r="A214" s="47" t="n">
        <v>213</v>
      </c>
      <c r="B214" s="39" t="s">
        <v>1346</v>
      </c>
      <c r="C214" s="39" t="s">
        <v>1347</v>
      </c>
      <c r="D214" s="39" t="s">
        <v>2850</v>
      </c>
      <c r="E214" s="48" t="s">
        <v>1352</v>
      </c>
      <c r="F214" s="49" t="s">
        <v>2406</v>
      </c>
      <c r="G214" s="39" t="s">
        <v>2852</v>
      </c>
    </row>
    <row r="215" customFormat="false" ht="18" hidden="false" customHeight="true" outlineLevel="0" collapsed="false">
      <c r="A215" s="47" t="n">
        <v>214</v>
      </c>
      <c r="B215" s="39" t="s">
        <v>1346</v>
      </c>
      <c r="C215" s="39" t="s">
        <v>1347</v>
      </c>
      <c r="D215" s="39" t="s">
        <v>109</v>
      </c>
      <c r="E215" s="48" t="s">
        <v>1110</v>
      </c>
      <c r="F215" s="49" t="s">
        <v>151</v>
      </c>
      <c r="G215" s="39" t="s">
        <v>2853</v>
      </c>
    </row>
    <row r="216" customFormat="false" ht="18" hidden="false" customHeight="true" outlineLevel="0" collapsed="false">
      <c r="A216" s="47" t="n">
        <v>215</v>
      </c>
      <c r="B216" s="39" t="s">
        <v>1353</v>
      </c>
      <c r="C216" s="39" t="s">
        <v>1354</v>
      </c>
      <c r="D216" s="39" t="s">
        <v>101</v>
      </c>
      <c r="E216" s="48" t="s">
        <v>1356</v>
      </c>
      <c r="F216" s="49" t="s">
        <v>657</v>
      </c>
      <c r="G216" s="39" t="s">
        <v>2843</v>
      </c>
    </row>
    <row r="217" customFormat="false" ht="18" hidden="false" customHeight="true" outlineLevel="0" collapsed="false">
      <c r="A217" s="47" t="n">
        <v>216</v>
      </c>
      <c r="B217" s="39" t="s">
        <v>1353</v>
      </c>
      <c r="C217" s="39" t="s">
        <v>1354</v>
      </c>
      <c r="D217" s="39" t="s">
        <v>2845</v>
      </c>
      <c r="E217" s="48" t="s">
        <v>1357</v>
      </c>
      <c r="F217" s="49" t="s">
        <v>2954</v>
      </c>
      <c r="G217" s="39" t="s">
        <v>2847</v>
      </c>
    </row>
    <row r="218" customFormat="false" ht="18" hidden="false" customHeight="true" outlineLevel="0" collapsed="false">
      <c r="A218" s="47" t="n">
        <v>217</v>
      </c>
      <c r="B218" s="39" t="s">
        <v>1353</v>
      </c>
      <c r="C218" s="39" t="s">
        <v>1354</v>
      </c>
      <c r="D218" s="39" t="s">
        <v>2848</v>
      </c>
      <c r="E218" s="48" t="s">
        <v>1358</v>
      </c>
      <c r="F218" s="49" t="s">
        <v>2955</v>
      </c>
      <c r="G218" s="39" t="s">
        <v>2847</v>
      </c>
    </row>
    <row r="219" customFormat="false" ht="18" hidden="false" customHeight="true" outlineLevel="0" collapsed="false">
      <c r="A219" s="47" t="n">
        <v>218</v>
      </c>
      <c r="B219" s="39" t="s">
        <v>1353</v>
      </c>
      <c r="C219" s="39" t="s">
        <v>1354</v>
      </c>
      <c r="D219" s="39" t="s">
        <v>2850</v>
      </c>
      <c r="E219" s="48" t="s">
        <v>1359</v>
      </c>
      <c r="F219" s="49" t="s">
        <v>2956</v>
      </c>
      <c r="G219" s="39" t="s">
        <v>2852</v>
      </c>
    </row>
    <row r="220" customFormat="false" ht="18" hidden="false" customHeight="true" outlineLevel="0" collapsed="false">
      <c r="A220" s="47" t="n">
        <v>219</v>
      </c>
      <c r="B220" s="39" t="s">
        <v>1353</v>
      </c>
      <c r="C220" s="39" t="s">
        <v>1354</v>
      </c>
      <c r="D220" s="39" t="s">
        <v>109</v>
      </c>
      <c r="E220" s="48" t="s">
        <v>1110</v>
      </c>
      <c r="F220" s="49" t="s">
        <v>151</v>
      </c>
      <c r="G220" s="39" t="s">
        <v>2853</v>
      </c>
    </row>
    <row r="221" customFormat="false" ht="18" hidden="false" customHeight="true" outlineLevel="0" collapsed="false">
      <c r="A221" s="47" t="n">
        <v>220</v>
      </c>
      <c r="B221" s="39" t="s">
        <v>1360</v>
      </c>
      <c r="C221" s="39" t="s">
        <v>1361</v>
      </c>
      <c r="D221" s="39" t="s">
        <v>2840</v>
      </c>
      <c r="E221" s="48" t="s">
        <v>1362</v>
      </c>
      <c r="F221" s="49" t="s">
        <v>2957</v>
      </c>
      <c r="G221" s="39" t="s">
        <v>2898</v>
      </c>
    </row>
    <row r="222" customFormat="false" ht="18" hidden="false" customHeight="true" outlineLevel="0" collapsed="false">
      <c r="A222" s="47" t="n">
        <v>221</v>
      </c>
      <c r="B222" s="39" t="s">
        <v>1360</v>
      </c>
      <c r="C222" s="39" t="s">
        <v>1361</v>
      </c>
      <c r="D222" s="39" t="s">
        <v>100</v>
      </c>
      <c r="E222" s="48" t="s">
        <v>1363</v>
      </c>
      <c r="F222" s="49" t="s">
        <v>372</v>
      </c>
      <c r="G222" s="39" t="s">
        <v>2870</v>
      </c>
    </row>
    <row r="223" customFormat="false" ht="18" hidden="false" customHeight="true" outlineLevel="0" collapsed="false">
      <c r="A223" s="47" t="n">
        <v>222</v>
      </c>
      <c r="B223" s="39" t="s">
        <v>1360</v>
      </c>
      <c r="C223" s="39" t="s">
        <v>1361</v>
      </c>
      <c r="D223" s="39" t="s">
        <v>101</v>
      </c>
      <c r="E223" s="48" t="s">
        <v>1364</v>
      </c>
      <c r="F223" s="49" t="s">
        <v>373</v>
      </c>
      <c r="G223" s="39" t="s">
        <v>2843</v>
      </c>
    </row>
    <row r="224" customFormat="false" ht="18" hidden="false" customHeight="true" outlineLevel="0" collapsed="false">
      <c r="A224" s="47" t="n">
        <v>223</v>
      </c>
      <c r="B224" s="39" t="s">
        <v>1360</v>
      </c>
      <c r="C224" s="39" t="s">
        <v>1361</v>
      </c>
      <c r="D224" s="39" t="s">
        <v>102</v>
      </c>
      <c r="E224" s="48" t="s">
        <v>1365</v>
      </c>
      <c r="F224" s="49" t="s">
        <v>170</v>
      </c>
      <c r="G224" s="39" t="s">
        <v>2844</v>
      </c>
    </row>
    <row r="225" customFormat="false" ht="18" hidden="false" customHeight="true" outlineLevel="0" collapsed="false">
      <c r="A225" s="47" t="n">
        <v>224</v>
      </c>
      <c r="B225" s="39" t="s">
        <v>1360</v>
      </c>
      <c r="C225" s="39" t="s">
        <v>1361</v>
      </c>
      <c r="D225" s="39" t="s">
        <v>2845</v>
      </c>
      <c r="E225" s="48" t="s">
        <v>1366</v>
      </c>
      <c r="F225" s="49" t="s">
        <v>2958</v>
      </c>
      <c r="G225" s="39" t="s">
        <v>2847</v>
      </c>
    </row>
    <row r="226" customFormat="false" ht="18" hidden="false" customHeight="true" outlineLevel="0" collapsed="false">
      <c r="A226" s="47" t="n">
        <v>225</v>
      </c>
      <c r="B226" s="39" t="s">
        <v>1360</v>
      </c>
      <c r="C226" s="39" t="s">
        <v>1361</v>
      </c>
      <c r="D226" s="39" t="s">
        <v>2848</v>
      </c>
      <c r="E226" s="48" t="s">
        <v>1367</v>
      </c>
      <c r="F226" s="49" t="s">
        <v>1995</v>
      </c>
      <c r="G226" s="39" t="s">
        <v>2847</v>
      </c>
    </row>
    <row r="227" customFormat="false" ht="18" hidden="false" customHeight="true" outlineLevel="0" collapsed="false">
      <c r="A227" s="47" t="n">
        <v>226</v>
      </c>
      <c r="B227" s="39" t="s">
        <v>1360</v>
      </c>
      <c r="C227" s="39" t="s">
        <v>1361</v>
      </c>
      <c r="D227" s="39" t="s">
        <v>2850</v>
      </c>
      <c r="E227" s="48" t="s">
        <v>1368</v>
      </c>
      <c r="F227" s="49" t="s">
        <v>2959</v>
      </c>
      <c r="G227" s="39" t="s">
        <v>2852</v>
      </c>
    </row>
    <row r="228" customFormat="false" ht="18" hidden="false" customHeight="true" outlineLevel="0" collapsed="false">
      <c r="A228" s="47" t="n">
        <v>227</v>
      </c>
      <c r="B228" s="39" t="s">
        <v>1360</v>
      </c>
      <c r="C228" s="39" t="s">
        <v>1361</v>
      </c>
      <c r="D228" s="39" t="s">
        <v>109</v>
      </c>
      <c r="E228" s="48" t="s">
        <v>1110</v>
      </c>
      <c r="F228" s="49" t="s">
        <v>151</v>
      </c>
      <c r="G228" s="39" t="s">
        <v>2853</v>
      </c>
    </row>
    <row r="229" customFormat="false" ht="18" hidden="false" customHeight="true" outlineLevel="0" collapsed="false">
      <c r="A229" s="47" t="n">
        <v>228</v>
      </c>
      <c r="B229" s="39" t="s">
        <v>1093</v>
      </c>
      <c r="C229" s="39" t="s">
        <v>1369</v>
      </c>
      <c r="D229" s="39" t="s">
        <v>2840</v>
      </c>
      <c r="E229" s="48" t="s">
        <v>1370</v>
      </c>
      <c r="F229" s="49" t="s">
        <v>2960</v>
      </c>
      <c r="G229" s="39" t="s">
        <v>2842</v>
      </c>
    </row>
    <row r="230" customFormat="false" ht="18" hidden="false" customHeight="true" outlineLevel="0" collapsed="false">
      <c r="A230" s="47" t="n">
        <v>229</v>
      </c>
      <c r="B230" s="39" t="s">
        <v>1093</v>
      </c>
      <c r="C230" s="39" t="s">
        <v>1369</v>
      </c>
      <c r="D230" s="39" t="s">
        <v>102</v>
      </c>
      <c r="E230" s="48" t="s">
        <v>1371</v>
      </c>
      <c r="F230" s="49" t="s">
        <v>150</v>
      </c>
      <c r="G230" s="39" t="s">
        <v>2844</v>
      </c>
    </row>
    <row r="231" customFormat="false" ht="18" hidden="false" customHeight="true" outlineLevel="0" collapsed="false">
      <c r="A231" s="47" t="n">
        <v>230</v>
      </c>
      <c r="B231" s="39" t="s">
        <v>1093</v>
      </c>
      <c r="C231" s="39" t="s">
        <v>1369</v>
      </c>
      <c r="D231" s="39" t="s">
        <v>77</v>
      </c>
      <c r="E231" s="48" t="s">
        <v>1216</v>
      </c>
      <c r="F231" s="49" t="s">
        <v>80</v>
      </c>
      <c r="G231" s="39" t="s">
        <v>2863</v>
      </c>
    </row>
    <row r="232" customFormat="false" ht="18" hidden="false" customHeight="true" outlineLevel="0" collapsed="false">
      <c r="A232" s="47" t="n">
        <v>231</v>
      </c>
      <c r="B232" s="39" t="s">
        <v>1093</v>
      </c>
      <c r="C232" s="39" t="s">
        <v>1369</v>
      </c>
      <c r="D232" s="39" t="s">
        <v>2845</v>
      </c>
      <c r="E232" s="48" t="s">
        <v>1325</v>
      </c>
      <c r="F232" s="49" t="s">
        <v>2944</v>
      </c>
      <c r="G232" s="39" t="s">
        <v>2847</v>
      </c>
    </row>
    <row r="233" customFormat="false" ht="18" hidden="false" customHeight="true" outlineLevel="0" collapsed="false">
      <c r="A233" s="47" t="n">
        <v>232</v>
      </c>
      <c r="B233" s="39" t="s">
        <v>1093</v>
      </c>
      <c r="C233" s="39" t="s">
        <v>1369</v>
      </c>
      <c r="D233" s="39" t="s">
        <v>2848</v>
      </c>
      <c r="E233" s="48" t="s">
        <v>1372</v>
      </c>
      <c r="F233" s="49" t="s">
        <v>2961</v>
      </c>
      <c r="G233" s="39" t="s">
        <v>2847</v>
      </c>
    </row>
    <row r="234" customFormat="false" ht="18" hidden="false" customHeight="true" outlineLevel="0" collapsed="false">
      <c r="A234" s="47" t="n">
        <v>233</v>
      </c>
      <c r="B234" s="39" t="s">
        <v>1093</v>
      </c>
      <c r="C234" s="39" t="s">
        <v>1369</v>
      </c>
      <c r="D234" s="39" t="s">
        <v>2850</v>
      </c>
      <c r="E234" s="48" t="s">
        <v>1373</v>
      </c>
      <c r="F234" s="49" t="s">
        <v>2962</v>
      </c>
      <c r="G234" s="39" t="s">
        <v>2852</v>
      </c>
    </row>
    <row r="235" customFormat="false" ht="18" hidden="false" customHeight="true" outlineLevel="0" collapsed="false">
      <c r="A235" s="47" t="n">
        <v>234</v>
      </c>
      <c r="B235" s="39" t="s">
        <v>1093</v>
      </c>
      <c r="C235" s="39" t="s">
        <v>1369</v>
      </c>
      <c r="D235" s="39" t="s">
        <v>109</v>
      </c>
      <c r="E235" s="48" t="s">
        <v>1110</v>
      </c>
      <c r="F235" s="49" t="s">
        <v>151</v>
      </c>
      <c r="G235" s="39" t="s">
        <v>2853</v>
      </c>
    </row>
    <row r="236" customFormat="false" ht="18" hidden="false" customHeight="true" outlineLevel="0" collapsed="false">
      <c r="A236" s="47" t="n">
        <v>235</v>
      </c>
      <c r="B236" s="39" t="s">
        <v>1374</v>
      </c>
      <c r="C236" s="39" t="s">
        <v>1375</v>
      </c>
      <c r="D236" s="39" t="s">
        <v>77</v>
      </c>
      <c r="E236" s="48" t="s">
        <v>1173</v>
      </c>
      <c r="F236" s="49" t="s">
        <v>79</v>
      </c>
      <c r="G236" s="39" t="s">
        <v>2863</v>
      </c>
    </row>
    <row r="237" customFormat="false" ht="18" hidden="false" customHeight="true" outlineLevel="0" collapsed="false">
      <c r="A237" s="47" t="n">
        <v>236</v>
      </c>
      <c r="B237" s="39" t="s">
        <v>1374</v>
      </c>
      <c r="C237" s="39" t="s">
        <v>1375</v>
      </c>
      <c r="D237" s="39" t="s">
        <v>2845</v>
      </c>
      <c r="E237" s="48" t="s">
        <v>1174</v>
      </c>
      <c r="F237" s="49" t="s">
        <v>2879</v>
      </c>
      <c r="G237" s="39" t="s">
        <v>2847</v>
      </c>
    </row>
    <row r="238" customFormat="false" ht="18" hidden="false" customHeight="true" outlineLevel="0" collapsed="false">
      <c r="A238" s="47" t="n">
        <v>237</v>
      </c>
      <c r="B238" s="39" t="s">
        <v>1374</v>
      </c>
      <c r="C238" s="39" t="s">
        <v>1375</v>
      </c>
      <c r="D238" s="39" t="s">
        <v>2848</v>
      </c>
      <c r="E238" s="48" t="s">
        <v>1174</v>
      </c>
      <c r="F238" s="49" t="s">
        <v>2879</v>
      </c>
      <c r="G238" s="39" t="s">
        <v>2847</v>
      </c>
    </row>
    <row r="239" customFormat="false" ht="18" hidden="false" customHeight="true" outlineLevel="0" collapsed="false">
      <c r="A239" s="47" t="n">
        <v>238</v>
      </c>
      <c r="B239" s="39" t="s">
        <v>1374</v>
      </c>
      <c r="C239" s="39" t="s">
        <v>1375</v>
      </c>
      <c r="D239" s="39" t="s">
        <v>2850</v>
      </c>
      <c r="E239" s="48" t="s">
        <v>1175</v>
      </c>
      <c r="F239" s="49" t="s">
        <v>2880</v>
      </c>
      <c r="G239" s="39" t="s">
        <v>2852</v>
      </c>
    </row>
    <row r="240" customFormat="false" ht="18" hidden="false" customHeight="true" outlineLevel="0" collapsed="false">
      <c r="A240" s="47" t="n">
        <v>239</v>
      </c>
      <c r="B240" s="39" t="s">
        <v>1374</v>
      </c>
      <c r="C240" s="39" t="s">
        <v>1375</v>
      </c>
      <c r="D240" s="39" t="s">
        <v>109</v>
      </c>
      <c r="E240" s="48" t="s">
        <v>1110</v>
      </c>
      <c r="F240" s="49" t="s">
        <v>151</v>
      </c>
      <c r="G240" s="39" t="s">
        <v>2853</v>
      </c>
    </row>
    <row r="241" customFormat="false" ht="18" hidden="false" customHeight="true" outlineLevel="0" collapsed="false">
      <c r="A241" s="47" t="n">
        <v>240</v>
      </c>
      <c r="B241" s="39" t="s">
        <v>270</v>
      </c>
      <c r="C241" s="39" t="s">
        <v>1376</v>
      </c>
      <c r="D241" s="39" t="s">
        <v>2840</v>
      </c>
      <c r="E241" s="48" t="s">
        <v>1377</v>
      </c>
      <c r="F241" s="49" t="s">
        <v>2963</v>
      </c>
      <c r="G241" s="39" t="s">
        <v>2898</v>
      </c>
    </row>
    <row r="242" customFormat="false" ht="18" hidden="false" customHeight="true" outlineLevel="0" collapsed="false">
      <c r="A242" s="47" t="n">
        <v>241</v>
      </c>
      <c r="B242" s="39" t="s">
        <v>270</v>
      </c>
      <c r="C242" s="39" t="s">
        <v>1376</v>
      </c>
      <c r="D242" s="39" t="s">
        <v>101</v>
      </c>
      <c r="E242" s="48" t="s">
        <v>1378</v>
      </c>
      <c r="F242" s="49" t="s">
        <v>269</v>
      </c>
      <c r="G242" s="39" t="s">
        <v>2843</v>
      </c>
    </row>
    <row r="243" customFormat="false" ht="18" hidden="false" customHeight="true" outlineLevel="0" collapsed="false">
      <c r="A243" s="47" t="n">
        <v>242</v>
      </c>
      <c r="B243" s="39" t="s">
        <v>270</v>
      </c>
      <c r="C243" s="39" t="s">
        <v>1376</v>
      </c>
      <c r="D243" s="39" t="s">
        <v>102</v>
      </c>
      <c r="E243" s="48" t="s">
        <v>1146</v>
      </c>
      <c r="F243" s="49" t="s">
        <v>137</v>
      </c>
      <c r="G243" s="39" t="s">
        <v>2844</v>
      </c>
    </row>
    <row r="244" customFormat="false" ht="18" hidden="false" customHeight="true" outlineLevel="0" collapsed="false">
      <c r="A244" s="47" t="n">
        <v>243</v>
      </c>
      <c r="B244" s="39" t="s">
        <v>270</v>
      </c>
      <c r="C244" s="39" t="s">
        <v>1376</v>
      </c>
      <c r="D244" s="39" t="s">
        <v>77</v>
      </c>
      <c r="E244" s="48" t="s">
        <v>1257</v>
      </c>
      <c r="F244" s="49" t="s">
        <v>83</v>
      </c>
      <c r="G244" s="39" t="s">
        <v>2863</v>
      </c>
    </row>
    <row r="245" customFormat="false" ht="18" hidden="false" customHeight="true" outlineLevel="0" collapsed="false">
      <c r="A245" s="47" t="n">
        <v>244</v>
      </c>
      <c r="B245" s="39" t="s">
        <v>270</v>
      </c>
      <c r="C245" s="39" t="s">
        <v>1376</v>
      </c>
      <c r="D245" s="39" t="s">
        <v>2845</v>
      </c>
      <c r="E245" s="48" t="s">
        <v>1379</v>
      </c>
      <c r="F245" s="49" t="s">
        <v>2964</v>
      </c>
      <c r="G245" s="39" t="s">
        <v>2847</v>
      </c>
    </row>
    <row r="246" customFormat="false" ht="18" hidden="false" customHeight="true" outlineLevel="0" collapsed="false">
      <c r="A246" s="47" t="n">
        <v>245</v>
      </c>
      <c r="B246" s="39" t="s">
        <v>270</v>
      </c>
      <c r="C246" s="39" t="s">
        <v>1376</v>
      </c>
      <c r="D246" s="39" t="s">
        <v>2848</v>
      </c>
      <c r="E246" s="48" t="s">
        <v>1380</v>
      </c>
      <c r="F246" s="49" t="s">
        <v>2965</v>
      </c>
      <c r="G246" s="39" t="s">
        <v>2847</v>
      </c>
    </row>
    <row r="247" customFormat="false" ht="18" hidden="false" customHeight="true" outlineLevel="0" collapsed="false">
      <c r="A247" s="47" t="n">
        <v>246</v>
      </c>
      <c r="B247" s="39" t="s">
        <v>270</v>
      </c>
      <c r="C247" s="39" t="s">
        <v>1376</v>
      </c>
      <c r="D247" s="39" t="s">
        <v>2850</v>
      </c>
      <c r="E247" s="48" t="s">
        <v>1382</v>
      </c>
      <c r="F247" s="49" t="s">
        <v>2966</v>
      </c>
      <c r="G247" s="39" t="s">
        <v>2852</v>
      </c>
    </row>
    <row r="248" customFormat="false" ht="18" hidden="false" customHeight="true" outlineLevel="0" collapsed="false">
      <c r="A248" s="47" t="n">
        <v>247</v>
      </c>
      <c r="B248" s="39" t="s">
        <v>270</v>
      </c>
      <c r="C248" s="39" t="s">
        <v>1376</v>
      </c>
      <c r="D248" s="39" t="s">
        <v>109</v>
      </c>
      <c r="E248" s="48" t="s">
        <v>1110</v>
      </c>
      <c r="F248" s="49" t="s">
        <v>151</v>
      </c>
      <c r="G248" s="39" t="s">
        <v>2853</v>
      </c>
    </row>
    <row r="249" customFormat="false" ht="18" hidden="false" customHeight="true" outlineLevel="0" collapsed="false">
      <c r="A249" s="47" t="n">
        <v>248</v>
      </c>
      <c r="B249" s="39" t="s">
        <v>1022</v>
      </c>
      <c r="C249" s="39" t="s">
        <v>1383</v>
      </c>
      <c r="D249" s="39" t="s">
        <v>102</v>
      </c>
      <c r="E249" s="48" t="s">
        <v>1235</v>
      </c>
      <c r="F249" s="49" t="s">
        <v>120</v>
      </c>
      <c r="G249" s="39" t="s">
        <v>2844</v>
      </c>
    </row>
    <row r="250" customFormat="false" ht="18" hidden="false" customHeight="true" outlineLevel="0" collapsed="false">
      <c r="A250" s="47" t="n">
        <v>249</v>
      </c>
      <c r="B250" s="39" t="s">
        <v>1022</v>
      </c>
      <c r="C250" s="39" t="s">
        <v>1383</v>
      </c>
      <c r="D250" s="39" t="s">
        <v>2845</v>
      </c>
      <c r="E250" s="48" t="s">
        <v>1385</v>
      </c>
      <c r="F250" s="49" t="s">
        <v>2967</v>
      </c>
      <c r="G250" s="39" t="s">
        <v>2847</v>
      </c>
    </row>
    <row r="251" customFormat="false" ht="18" hidden="false" customHeight="true" outlineLevel="0" collapsed="false">
      <c r="A251" s="47" t="n">
        <v>250</v>
      </c>
      <c r="B251" s="39" t="s">
        <v>1022</v>
      </c>
      <c r="C251" s="39" t="s">
        <v>1383</v>
      </c>
      <c r="D251" s="39" t="s">
        <v>2848</v>
      </c>
      <c r="E251" s="48" t="s">
        <v>1385</v>
      </c>
      <c r="F251" s="49" t="s">
        <v>2967</v>
      </c>
      <c r="G251" s="39" t="s">
        <v>2847</v>
      </c>
    </row>
    <row r="252" customFormat="false" ht="18" hidden="false" customHeight="true" outlineLevel="0" collapsed="false">
      <c r="A252" s="47" t="n">
        <v>251</v>
      </c>
      <c r="B252" s="39" t="s">
        <v>1022</v>
      </c>
      <c r="C252" s="39" t="s">
        <v>1383</v>
      </c>
      <c r="D252" s="39" t="s">
        <v>2850</v>
      </c>
      <c r="E252" s="48" t="s">
        <v>1386</v>
      </c>
      <c r="F252" s="49" t="s">
        <v>2968</v>
      </c>
      <c r="G252" s="39" t="s">
        <v>2852</v>
      </c>
    </row>
    <row r="253" customFormat="false" ht="18" hidden="false" customHeight="true" outlineLevel="0" collapsed="false">
      <c r="A253" s="47" t="n">
        <v>252</v>
      </c>
      <c r="B253" s="39" t="s">
        <v>1022</v>
      </c>
      <c r="C253" s="39" t="s">
        <v>1383</v>
      </c>
      <c r="D253" s="39" t="s">
        <v>109</v>
      </c>
      <c r="E253" s="48" t="s">
        <v>1110</v>
      </c>
      <c r="F253" s="49" t="s">
        <v>151</v>
      </c>
      <c r="G253" s="39" t="s">
        <v>2853</v>
      </c>
    </row>
    <row r="254" customFormat="false" ht="18" hidden="false" customHeight="true" outlineLevel="0" collapsed="false">
      <c r="A254" s="47" t="n">
        <v>253</v>
      </c>
      <c r="B254" s="39" t="s">
        <v>579</v>
      </c>
      <c r="C254" s="39" t="s">
        <v>1387</v>
      </c>
      <c r="D254" s="39" t="s">
        <v>102</v>
      </c>
      <c r="E254" s="48" t="s">
        <v>81</v>
      </c>
      <c r="F254" s="49" t="s">
        <v>257</v>
      </c>
      <c r="G254" s="39" t="s">
        <v>2844</v>
      </c>
    </row>
    <row r="255" customFormat="false" ht="18" hidden="false" customHeight="true" outlineLevel="0" collapsed="false">
      <c r="A255" s="47" t="n">
        <v>254</v>
      </c>
      <c r="B255" s="39" t="s">
        <v>579</v>
      </c>
      <c r="C255" s="39" t="s">
        <v>1387</v>
      </c>
      <c r="D255" s="39" t="s">
        <v>77</v>
      </c>
      <c r="E255" s="48" t="s">
        <v>1389</v>
      </c>
      <c r="F255" s="49" t="s">
        <v>81</v>
      </c>
      <c r="G255" s="39" t="s">
        <v>2863</v>
      </c>
    </row>
    <row r="256" customFormat="false" ht="18" hidden="false" customHeight="true" outlineLevel="0" collapsed="false">
      <c r="A256" s="47" t="n">
        <v>255</v>
      </c>
      <c r="B256" s="39" t="s">
        <v>579</v>
      </c>
      <c r="C256" s="39" t="s">
        <v>1387</v>
      </c>
      <c r="D256" s="39" t="s">
        <v>2845</v>
      </c>
      <c r="E256" s="48" t="s">
        <v>1390</v>
      </c>
      <c r="F256" s="49" t="s">
        <v>2969</v>
      </c>
      <c r="G256" s="39" t="s">
        <v>2847</v>
      </c>
    </row>
    <row r="257" customFormat="false" ht="18" hidden="false" customHeight="true" outlineLevel="0" collapsed="false">
      <c r="A257" s="47" t="n">
        <v>256</v>
      </c>
      <c r="B257" s="39" t="s">
        <v>579</v>
      </c>
      <c r="C257" s="39" t="s">
        <v>1387</v>
      </c>
      <c r="D257" s="39" t="s">
        <v>2848</v>
      </c>
      <c r="E257" s="48" t="s">
        <v>1391</v>
      </c>
      <c r="F257" s="49" t="s">
        <v>2970</v>
      </c>
      <c r="G257" s="39" t="s">
        <v>2847</v>
      </c>
    </row>
    <row r="258" customFormat="false" ht="18" hidden="false" customHeight="true" outlineLevel="0" collapsed="false">
      <c r="A258" s="47" t="n">
        <v>257</v>
      </c>
      <c r="B258" s="39" t="s">
        <v>579</v>
      </c>
      <c r="C258" s="39" t="s">
        <v>1387</v>
      </c>
      <c r="D258" s="39" t="s">
        <v>2850</v>
      </c>
      <c r="E258" s="48" t="s">
        <v>1392</v>
      </c>
      <c r="F258" s="49" t="s">
        <v>2971</v>
      </c>
      <c r="G258" s="39" t="s">
        <v>2852</v>
      </c>
    </row>
    <row r="259" customFormat="false" ht="18" hidden="false" customHeight="true" outlineLevel="0" collapsed="false">
      <c r="A259" s="47" t="n">
        <v>258</v>
      </c>
      <c r="B259" s="39" t="s">
        <v>579</v>
      </c>
      <c r="C259" s="39" t="s">
        <v>1387</v>
      </c>
      <c r="D259" s="39" t="s">
        <v>109</v>
      </c>
      <c r="E259" s="48" t="s">
        <v>1110</v>
      </c>
      <c r="F259" s="49" t="s">
        <v>151</v>
      </c>
      <c r="G259" s="39" t="s">
        <v>2853</v>
      </c>
    </row>
    <row r="260" customFormat="false" ht="18" hidden="false" customHeight="true" outlineLevel="0" collapsed="false">
      <c r="A260" s="47" t="n">
        <v>259</v>
      </c>
      <c r="B260" s="39" t="s">
        <v>541</v>
      </c>
      <c r="C260" s="39" t="s">
        <v>1393</v>
      </c>
      <c r="D260" s="39" t="s">
        <v>100</v>
      </c>
      <c r="E260" s="48" t="s">
        <v>1395</v>
      </c>
      <c r="F260" s="49" t="s">
        <v>539</v>
      </c>
      <c r="G260" s="39" t="s">
        <v>2878</v>
      </c>
    </row>
    <row r="261" customFormat="false" ht="18" hidden="false" customHeight="true" outlineLevel="0" collapsed="false">
      <c r="A261" s="47" t="n">
        <v>260</v>
      </c>
      <c r="B261" s="39" t="s">
        <v>541</v>
      </c>
      <c r="C261" s="39" t="s">
        <v>1393</v>
      </c>
      <c r="D261" s="39" t="s">
        <v>77</v>
      </c>
      <c r="E261" s="48" t="s">
        <v>1162</v>
      </c>
      <c r="F261" s="49" t="s">
        <v>79</v>
      </c>
      <c r="G261" s="39" t="s">
        <v>2863</v>
      </c>
    </row>
    <row r="262" customFormat="false" ht="18" hidden="false" customHeight="true" outlineLevel="0" collapsed="false">
      <c r="A262" s="47" t="n">
        <v>261</v>
      </c>
      <c r="B262" s="39" t="s">
        <v>541</v>
      </c>
      <c r="C262" s="39" t="s">
        <v>1393</v>
      </c>
      <c r="D262" s="39" t="s">
        <v>2845</v>
      </c>
      <c r="E262" s="48" t="s">
        <v>1396</v>
      </c>
      <c r="F262" s="49" t="s">
        <v>2972</v>
      </c>
      <c r="G262" s="39" t="s">
        <v>2847</v>
      </c>
    </row>
    <row r="263" customFormat="false" ht="18" hidden="false" customHeight="true" outlineLevel="0" collapsed="false">
      <c r="A263" s="47" t="n">
        <v>262</v>
      </c>
      <c r="B263" s="39" t="s">
        <v>541</v>
      </c>
      <c r="C263" s="39" t="s">
        <v>1393</v>
      </c>
      <c r="D263" s="39" t="s">
        <v>2848</v>
      </c>
      <c r="E263" s="48" t="s">
        <v>1397</v>
      </c>
      <c r="F263" s="49" t="s">
        <v>2973</v>
      </c>
      <c r="G263" s="39" t="s">
        <v>2847</v>
      </c>
    </row>
    <row r="264" customFormat="false" ht="18" hidden="false" customHeight="true" outlineLevel="0" collapsed="false">
      <c r="A264" s="47" t="n">
        <v>263</v>
      </c>
      <c r="B264" s="39" t="s">
        <v>541</v>
      </c>
      <c r="C264" s="39" t="s">
        <v>1393</v>
      </c>
      <c r="D264" s="39" t="s">
        <v>2850</v>
      </c>
      <c r="E264" s="48" t="s">
        <v>1398</v>
      </c>
      <c r="F264" s="49" t="s">
        <v>2974</v>
      </c>
      <c r="G264" s="39" t="s">
        <v>2852</v>
      </c>
    </row>
    <row r="265" customFormat="false" ht="18" hidden="false" customHeight="true" outlineLevel="0" collapsed="false">
      <c r="A265" s="47" t="n">
        <v>264</v>
      </c>
      <c r="B265" s="39" t="s">
        <v>541</v>
      </c>
      <c r="C265" s="39" t="s">
        <v>1393</v>
      </c>
      <c r="D265" s="39" t="s">
        <v>109</v>
      </c>
      <c r="E265" s="48" t="s">
        <v>1110</v>
      </c>
      <c r="F265" s="49" t="s">
        <v>151</v>
      </c>
      <c r="G265" s="39" t="s">
        <v>2853</v>
      </c>
    </row>
    <row r="266" customFormat="false" ht="18" hidden="false" customHeight="true" outlineLevel="0" collapsed="false">
      <c r="A266" s="47" t="n">
        <v>265</v>
      </c>
      <c r="B266" s="39" t="s">
        <v>1068</v>
      </c>
      <c r="C266" s="39" t="s">
        <v>1399</v>
      </c>
      <c r="D266" s="39" t="s">
        <v>2840</v>
      </c>
      <c r="E266" s="48" t="s">
        <v>1400</v>
      </c>
      <c r="F266" s="49" t="s">
        <v>2975</v>
      </c>
      <c r="G266" s="39" t="s">
        <v>2898</v>
      </c>
    </row>
    <row r="267" customFormat="false" ht="18" hidden="false" customHeight="true" outlineLevel="0" collapsed="false">
      <c r="A267" s="47" t="n">
        <v>266</v>
      </c>
      <c r="B267" s="39" t="s">
        <v>1068</v>
      </c>
      <c r="C267" s="39" t="s">
        <v>1399</v>
      </c>
      <c r="D267" s="39" t="s">
        <v>101</v>
      </c>
      <c r="E267" s="48" t="s">
        <v>1401</v>
      </c>
      <c r="F267" s="49" t="s">
        <v>1067</v>
      </c>
      <c r="G267" s="39" t="s">
        <v>2843</v>
      </c>
    </row>
    <row r="268" customFormat="false" ht="18" hidden="false" customHeight="true" outlineLevel="0" collapsed="false">
      <c r="A268" s="47" t="n">
        <v>267</v>
      </c>
      <c r="B268" s="39" t="s">
        <v>1068</v>
      </c>
      <c r="C268" s="39" t="s">
        <v>1399</v>
      </c>
      <c r="D268" s="39" t="s">
        <v>102</v>
      </c>
      <c r="E268" s="48" t="s">
        <v>1172</v>
      </c>
      <c r="F268" s="49" t="s">
        <v>128</v>
      </c>
      <c r="G268" s="39" t="s">
        <v>2844</v>
      </c>
    </row>
    <row r="269" customFormat="false" ht="18" hidden="false" customHeight="true" outlineLevel="0" collapsed="false">
      <c r="A269" s="47" t="n">
        <v>268</v>
      </c>
      <c r="B269" s="39" t="s">
        <v>1068</v>
      </c>
      <c r="C269" s="39" t="s">
        <v>1399</v>
      </c>
      <c r="D269" s="39" t="s">
        <v>2845</v>
      </c>
      <c r="E269" s="48" t="s">
        <v>1402</v>
      </c>
      <c r="F269" s="49" t="s">
        <v>2008</v>
      </c>
      <c r="G269" s="39" t="s">
        <v>2847</v>
      </c>
    </row>
    <row r="270" customFormat="false" ht="18" hidden="false" customHeight="true" outlineLevel="0" collapsed="false">
      <c r="A270" s="47" t="n">
        <v>269</v>
      </c>
      <c r="B270" s="39" t="s">
        <v>1068</v>
      </c>
      <c r="C270" s="39" t="s">
        <v>1399</v>
      </c>
      <c r="D270" s="39" t="s">
        <v>2848</v>
      </c>
      <c r="E270" s="48" t="s">
        <v>1403</v>
      </c>
      <c r="F270" s="49" t="s">
        <v>2976</v>
      </c>
      <c r="G270" s="39" t="s">
        <v>2847</v>
      </c>
    </row>
    <row r="271" customFormat="false" ht="18" hidden="false" customHeight="true" outlineLevel="0" collapsed="false">
      <c r="A271" s="47" t="n">
        <v>270</v>
      </c>
      <c r="B271" s="39" t="s">
        <v>1068</v>
      </c>
      <c r="C271" s="39" t="s">
        <v>1399</v>
      </c>
      <c r="D271" s="39" t="s">
        <v>2850</v>
      </c>
      <c r="E271" s="48" t="s">
        <v>1404</v>
      </c>
      <c r="F271" s="49" t="s">
        <v>2977</v>
      </c>
      <c r="G271" s="39" t="s">
        <v>2852</v>
      </c>
    </row>
    <row r="272" customFormat="false" ht="18" hidden="false" customHeight="true" outlineLevel="0" collapsed="false">
      <c r="A272" s="47" t="n">
        <v>271</v>
      </c>
      <c r="B272" s="39" t="s">
        <v>1068</v>
      </c>
      <c r="C272" s="39" t="s">
        <v>1399</v>
      </c>
      <c r="D272" s="39" t="s">
        <v>109</v>
      </c>
      <c r="E272" s="48" t="s">
        <v>1110</v>
      </c>
      <c r="F272" s="49" t="s">
        <v>151</v>
      </c>
      <c r="G272" s="39" t="s">
        <v>2853</v>
      </c>
    </row>
    <row r="273" customFormat="false" ht="18" hidden="false" customHeight="true" outlineLevel="0" collapsed="false">
      <c r="A273" s="47" t="n">
        <v>272</v>
      </c>
      <c r="B273" s="39" t="s">
        <v>152</v>
      </c>
      <c r="C273" s="39" t="s">
        <v>1405</v>
      </c>
      <c r="D273" s="39" t="s">
        <v>101</v>
      </c>
      <c r="E273" s="48" t="s">
        <v>1407</v>
      </c>
      <c r="F273" s="49" t="s">
        <v>149</v>
      </c>
      <c r="G273" s="39" t="s">
        <v>2843</v>
      </c>
    </row>
    <row r="274" customFormat="false" ht="18" hidden="false" customHeight="true" outlineLevel="0" collapsed="false">
      <c r="A274" s="47" t="n">
        <v>273</v>
      </c>
      <c r="B274" s="39" t="s">
        <v>152</v>
      </c>
      <c r="C274" s="39" t="s">
        <v>1405</v>
      </c>
      <c r="D274" s="39" t="s">
        <v>2845</v>
      </c>
      <c r="E274" s="48" t="s">
        <v>1408</v>
      </c>
      <c r="F274" s="49" t="s">
        <v>2978</v>
      </c>
      <c r="G274" s="39" t="s">
        <v>2847</v>
      </c>
    </row>
    <row r="275" customFormat="false" ht="18" hidden="false" customHeight="true" outlineLevel="0" collapsed="false">
      <c r="A275" s="47" t="n">
        <v>274</v>
      </c>
      <c r="B275" s="39" t="s">
        <v>152</v>
      </c>
      <c r="C275" s="39" t="s">
        <v>1405</v>
      </c>
      <c r="D275" s="39" t="s">
        <v>2848</v>
      </c>
      <c r="E275" s="48" t="s">
        <v>1409</v>
      </c>
      <c r="F275" s="49" t="s">
        <v>2979</v>
      </c>
      <c r="G275" s="39" t="s">
        <v>2847</v>
      </c>
    </row>
    <row r="276" customFormat="false" ht="18" hidden="false" customHeight="true" outlineLevel="0" collapsed="false">
      <c r="A276" s="47" t="n">
        <v>275</v>
      </c>
      <c r="B276" s="39" t="s">
        <v>152</v>
      </c>
      <c r="C276" s="39" t="s">
        <v>1405</v>
      </c>
      <c r="D276" s="39" t="s">
        <v>2850</v>
      </c>
      <c r="E276" s="48" t="s">
        <v>1410</v>
      </c>
      <c r="F276" s="49" t="s">
        <v>2980</v>
      </c>
      <c r="G276" s="39" t="s">
        <v>2852</v>
      </c>
    </row>
    <row r="277" customFormat="false" ht="18" hidden="false" customHeight="true" outlineLevel="0" collapsed="false">
      <c r="A277" s="47" t="n">
        <v>276</v>
      </c>
      <c r="B277" s="39" t="s">
        <v>152</v>
      </c>
      <c r="C277" s="39" t="s">
        <v>1405</v>
      </c>
      <c r="D277" s="39" t="s">
        <v>109</v>
      </c>
      <c r="E277" s="48" t="s">
        <v>1110</v>
      </c>
      <c r="F277" s="49" t="s">
        <v>151</v>
      </c>
      <c r="G277" s="39" t="s">
        <v>2853</v>
      </c>
    </row>
    <row r="278" customFormat="false" ht="18" hidden="false" customHeight="true" outlineLevel="0" collapsed="false">
      <c r="A278" s="47" t="n">
        <v>277</v>
      </c>
      <c r="B278" s="39" t="s">
        <v>932</v>
      </c>
      <c r="C278" s="39" t="s">
        <v>1411</v>
      </c>
      <c r="D278" s="39" t="s">
        <v>101</v>
      </c>
      <c r="E278" s="48" t="s">
        <v>1413</v>
      </c>
      <c r="F278" s="49" t="s">
        <v>931</v>
      </c>
      <c r="G278" s="39" t="s">
        <v>2843</v>
      </c>
    </row>
    <row r="279" customFormat="false" ht="18" hidden="false" customHeight="true" outlineLevel="0" collapsed="false">
      <c r="A279" s="47" t="n">
        <v>278</v>
      </c>
      <c r="B279" s="39" t="s">
        <v>932</v>
      </c>
      <c r="C279" s="39" t="s">
        <v>1411</v>
      </c>
      <c r="D279" s="39" t="s">
        <v>77</v>
      </c>
      <c r="E279" s="48" t="s">
        <v>1137</v>
      </c>
      <c r="F279" s="49" t="s">
        <v>79</v>
      </c>
      <c r="G279" s="39" t="s">
        <v>2863</v>
      </c>
    </row>
    <row r="280" customFormat="false" ht="18" hidden="false" customHeight="true" outlineLevel="0" collapsed="false">
      <c r="A280" s="47" t="n">
        <v>279</v>
      </c>
      <c r="B280" s="39" t="s">
        <v>932</v>
      </c>
      <c r="C280" s="39" t="s">
        <v>1411</v>
      </c>
      <c r="D280" s="39" t="s">
        <v>2845</v>
      </c>
      <c r="E280" s="48" t="s">
        <v>1414</v>
      </c>
      <c r="F280" s="49" t="s">
        <v>2981</v>
      </c>
      <c r="G280" s="39" t="s">
        <v>2847</v>
      </c>
    </row>
    <row r="281" customFormat="false" ht="18" hidden="false" customHeight="true" outlineLevel="0" collapsed="false">
      <c r="A281" s="47" t="n">
        <v>280</v>
      </c>
      <c r="B281" s="39" t="s">
        <v>932</v>
      </c>
      <c r="C281" s="39" t="s">
        <v>1411</v>
      </c>
      <c r="D281" s="39" t="s">
        <v>2848</v>
      </c>
      <c r="E281" s="48" t="s">
        <v>1415</v>
      </c>
      <c r="F281" s="49" t="s">
        <v>2982</v>
      </c>
      <c r="G281" s="39" t="s">
        <v>2847</v>
      </c>
    </row>
    <row r="282" customFormat="false" ht="18" hidden="false" customHeight="true" outlineLevel="0" collapsed="false">
      <c r="A282" s="47" t="n">
        <v>281</v>
      </c>
      <c r="B282" s="39" t="s">
        <v>932</v>
      </c>
      <c r="C282" s="39" t="s">
        <v>1411</v>
      </c>
      <c r="D282" s="39" t="s">
        <v>2850</v>
      </c>
      <c r="E282" s="48" t="s">
        <v>1416</v>
      </c>
      <c r="F282" s="49" t="s">
        <v>2983</v>
      </c>
      <c r="G282" s="39" t="s">
        <v>2852</v>
      </c>
    </row>
    <row r="283" customFormat="false" ht="18" hidden="false" customHeight="true" outlineLevel="0" collapsed="false">
      <c r="A283" s="47" t="n">
        <v>282</v>
      </c>
      <c r="B283" s="39" t="s">
        <v>932</v>
      </c>
      <c r="C283" s="39" t="s">
        <v>1411</v>
      </c>
      <c r="D283" s="39" t="s">
        <v>109</v>
      </c>
      <c r="E283" s="48" t="s">
        <v>1132</v>
      </c>
      <c r="F283" s="49" t="s">
        <v>130</v>
      </c>
      <c r="G283" s="39" t="s">
        <v>2853</v>
      </c>
    </row>
    <row r="284" customFormat="false" ht="18" hidden="false" customHeight="true" outlineLevel="0" collapsed="false">
      <c r="A284" s="47" t="n">
        <v>283</v>
      </c>
      <c r="B284" s="39" t="s">
        <v>1417</v>
      </c>
      <c r="C284" s="39" t="s">
        <v>1418</v>
      </c>
      <c r="D284" s="39" t="s">
        <v>101</v>
      </c>
      <c r="E284" s="48" t="s">
        <v>1420</v>
      </c>
      <c r="F284" s="49" t="s">
        <v>381</v>
      </c>
      <c r="G284" s="39" t="s">
        <v>2843</v>
      </c>
    </row>
    <row r="285" customFormat="false" ht="18" hidden="false" customHeight="true" outlineLevel="0" collapsed="false">
      <c r="A285" s="47" t="n">
        <v>284</v>
      </c>
      <c r="B285" s="39" t="s">
        <v>1417</v>
      </c>
      <c r="C285" s="39" t="s">
        <v>1418</v>
      </c>
      <c r="D285" s="39" t="s">
        <v>2845</v>
      </c>
      <c r="E285" s="48" t="s">
        <v>1421</v>
      </c>
      <c r="F285" s="49" t="s">
        <v>2984</v>
      </c>
      <c r="G285" s="39" t="s">
        <v>2847</v>
      </c>
    </row>
    <row r="286" customFormat="false" ht="18" hidden="false" customHeight="true" outlineLevel="0" collapsed="false">
      <c r="A286" s="47" t="n">
        <v>285</v>
      </c>
      <c r="B286" s="39" t="s">
        <v>1417</v>
      </c>
      <c r="C286" s="39" t="s">
        <v>1418</v>
      </c>
      <c r="D286" s="39" t="s">
        <v>2848</v>
      </c>
      <c r="E286" s="48" t="s">
        <v>1422</v>
      </c>
      <c r="F286" s="49" t="s">
        <v>2985</v>
      </c>
      <c r="G286" s="39" t="s">
        <v>2847</v>
      </c>
    </row>
    <row r="287" customFormat="false" ht="18" hidden="false" customHeight="true" outlineLevel="0" collapsed="false">
      <c r="A287" s="47" t="n">
        <v>286</v>
      </c>
      <c r="B287" s="39" t="s">
        <v>1417</v>
      </c>
      <c r="C287" s="39" t="s">
        <v>1418</v>
      </c>
      <c r="D287" s="39" t="s">
        <v>2850</v>
      </c>
      <c r="E287" s="48" t="s">
        <v>1423</v>
      </c>
      <c r="F287" s="49" t="s">
        <v>2986</v>
      </c>
      <c r="G287" s="39" t="s">
        <v>2852</v>
      </c>
    </row>
    <row r="288" customFormat="false" ht="18" hidden="false" customHeight="true" outlineLevel="0" collapsed="false">
      <c r="A288" s="47" t="n">
        <v>287</v>
      </c>
      <c r="B288" s="39" t="s">
        <v>1417</v>
      </c>
      <c r="C288" s="39" t="s">
        <v>1418</v>
      </c>
      <c r="D288" s="39" t="s">
        <v>109</v>
      </c>
      <c r="E288" s="48" t="s">
        <v>1110</v>
      </c>
      <c r="F288" s="49" t="s">
        <v>151</v>
      </c>
      <c r="G288" s="39" t="s">
        <v>2853</v>
      </c>
    </row>
    <row r="289" customFormat="false" ht="18" hidden="false" customHeight="true" outlineLevel="0" collapsed="false">
      <c r="A289" s="47" t="n">
        <v>288</v>
      </c>
      <c r="B289" s="39" t="s">
        <v>484</v>
      </c>
      <c r="C289" s="39" t="s">
        <v>1424</v>
      </c>
      <c r="D289" s="39" t="s">
        <v>100</v>
      </c>
      <c r="E289" s="48" t="s">
        <v>1426</v>
      </c>
      <c r="F289" s="49" t="s">
        <v>482</v>
      </c>
      <c r="G289" s="39" t="s">
        <v>2878</v>
      </c>
    </row>
    <row r="290" customFormat="false" ht="18" hidden="false" customHeight="true" outlineLevel="0" collapsed="false">
      <c r="A290" s="47" t="n">
        <v>289</v>
      </c>
      <c r="B290" s="39" t="s">
        <v>484</v>
      </c>
      <c r="C290" s="39" t="s">
        <v>1424</v>
      </c>
      <c r="D290" s="39" t="s">
        <v>101</v>
      </c>
      <c r="E290" s="48" t="s">
        <v>1427</v>
      </c>
      <c r="F290" s="49" t="s">
        <v>483</v>
      </c>
      <c r="G290" s="39" t="s">
        <v>2843</v>
      </c>
    </row>
    <row r="291" customFormat="false" ht="18" hidden="false" customHeight="true" outlineLevel="0" collapsed="false">
      <c r="A291" s="47" t="n">
        <v>290</v>
      </c>
      <c r="B291" s="39" t="s">
        <v>484</v>
      </c>
      <c r="C291" s="39" t="s">
        <v>1424</v>
      </c>
      <c r="D291" s="39" t="s">
        <v>77</v>
      </c>
      <c r="E291" s="48" t="s">
        <v>1236</v>
      </c>
      <c r="F291" s="49" t="s">
        <v>80</v>
      </c>
      <c r="G291" s="39" t="s">
        <v>2863</v>
      </c>
    </row>
    <row r="292" customFormat="false" ht="18" hidden="false" customHeight="true" outlineLevel="0" collapsed="false">
      <c r="A292" s="47" t="n">
        <v>291</v>
      </c>
      <c r="B292" s="39" t="s">
        <v>484</v>
      </c>
      <c r="C292" s="39" t="s">
        <v>1424</v>
      </c>
      <c r="D292" s="39" t="s">
        <v>2845</v>
      </c>
      <c r="E292" s="48" t="s">
        <v>1428</v>
      </c>
      <c r="F292" s="49" t="s">
        <v>2987</v>
      </c>
      <c r="G292" s="39" t="s">
        <v>2847</v>
      </c>
    </row>
    <row r="293" customFormat="false" ht="18" hidden="false" customHeight="true" outlineLevel="0" collapsed="false">
      <c r="A293" s="47" t="n">
        <v>292</v>
      </c>
      <c r="B293" s="39" t="s">
        <v>484</v>
      </c>
      <c r="C293" s="39" t="s">
        <v>1424</v>
      </c>
      <c r="D293" s="39" t="s">
        <v>2848</v>
      </c>
      <c r="E293" s="48" t="s">
        <v>1429</v>
      </c>
      <c r="F293" s="49" t="s">
        <v>2988</v>
      </c>
      <c r="G293" s="39" t="s">
        <v>2847</v>
      </c>
    </row>
    <row r="294" customFormat="false" ht="18" hidden="false" customHeight="true" outlineLevel="0" collapsed="false">
      <c r="A294" s="47" t="n">
        <v>293</v>
      </c>
      <c r="B294" s="39" t="s">
        <v>484</v>
      </c>
      <c r="C294" s="39" t="s">
        <v>1424</v>
      </c>
      <c r="D294" s="39" t="s">
        <v>2850</v>
      </c>
      <c r="E294" s="48" t="s">
        <v>1430</v>
      </c>
      <c r="F294" s="49" t="s">
        <v>2989</v>
      </c>
      <c r="G294" s="39" t="s">
        <v>2852</v>
      </c>
    </row>
    <row r="295" customFormat="false" ht="18" hidden="false" customHeight="true" outlineLevel="0" collapsed="false">
      <c r="A295" s="47" t="n">
        <v>294</v>
      </c>
      <c r="B295" s="39" t="s">
        <v>484</v>
      </c>
      <c r="C295" s="39" t="s">
        <v>1424</v>
      </c>
      <c r="D295" s="39" t="s">
        <v>109</v>
      </c>
      <c r="E295" s="48" t="s">
        <v>1110</v>
      </c>
      <c r="F295" s="49" t="s">
        <v>151</v>
      </c>
      <c r="G295" s="39" t="s">
        <v>2853</v>
      </c>
    </row>
    <row r="296" customFormat="false" ht="18" hidden="false" customHeight="true" outlineLevel="0" collapsed="false">
      <c r="A296" s="47" t="n">
        <v>295</v>
      </c>
      <c r="B296" s="39" t="s">
        <v>1431</v>
      </c>
      <c r="C296" s="39" t="s">
        <v>1432</v>
      </c>
      <c r="D296" s="39" t="s">
        <v>2840</v>
      </c>
      <c r="E296" s="48" t="s">
        <v>1433</v>
      </c>
      <c r="F296" s="49" t="s">
        <v>1700</v>
      </c>
      <c r="G296" s="39" t="s">
        <v>2898</v>
      </c>
    </row>
    <row r="297" customFormat="false" ht="18" hidden="false" customHeight="true" outlineLevel="0" collapsed="false">
      <c r="A297" s="47" t="n">
        <v>296</v>
      </c>
      <c r="B297" s="39" t="s">
        <v>1431</v>
      </c>
      <c r="C297" s="39" t="s">
        <v>1432</v>
      </c>
      <c r="D297" s="39" t="s">
        <v>100</v>
      </c>
      <c r="E297" s="48" t="s">
        <v>1434</v>
      </c>
      <c r="F297" s="49" t="s">
        <v>221</v>
      </c>
      <c r="G297" s="39" t="s">
        <v>2870</v>
      </c>
    </row>
    <row r="298" customFormat="false" ht="18" hidden="false" customHeight="true" outlineLevel="0" collapsed="false">
      <c r="A298" s="47" t="n">
        <v>297</v>
      </c>
      <c r="B298" s="39" t="s">
        <v>1431</v>
      </c>
      <c r="C298" s="39" t="s">
        <v>1432</v>
      </c>
      <c r="D298" s="39" t="s">
        <v>2845</v>
      </c>
      <c r="E298" s="48" t="s">
        <v>1435</v>
      </c>
      <c r="F298" s="49" t="s">
        <v>2990</v>
      </c>
      <c r="G298" s="39" t="s">
        <v>2847</v>
      </c>
    </row>
    <row r="299" customFormat="false" ht="18" hidden="false" customHeight="true" outlineLevel="0" collapsed="false">
      <c r="A299" s="47" t="n">
        <v>298</v>
      </c>
      <c r="B299" s="39" t="s">
        <v>1431</v>
      </c>
      <c r="C299" s="39" t="s">
        <v>1432</v>
      </c>
      <c r="D299" s="39" t="s">
        <v>2848</v>
      </c>
      <c r="E299" s="48" t="s">
        <v>1436</v>
      </c>
      <c r="F299" s="49" t="s">
        <v>2991</v>
      </c>
      <c r="G299" s="39" t="s">
        <v>2847</v>
      </c>
    </row>
    <row r="300" customFormat="false" ht="18" hidden="false" customHeight="true" outlineLevel="0" collapsed="false">
      <c r="A300" s="47" t="n">
        <v>299</v>
      </c>
      <c r="B300" s="39" t="s">
        <v>1431</v>
      </c>
      <c r="C300" s="39" t="s">
        <v>1432</v>
      </c>
      <c r="D300" s="39" t="s">
        <v>2850</v>
      </c>
      <c r="E300" s="48" t="s">
        <v>1437</v>
      </c>
      <c r="F300" s="49" t="s">
        <v>2992</v>
      </c>
      <c r="G300" s="39" t="s">
        <v>2852</v>
      </c>
    </row>
    <row r="301" customFormat="false" ht="18" hidden="false" customHeight="true" outlineLevel="0" collapsed="false">
      <c r="A301" s="47" t="n">
        <v>300</v>
      </c>
      <c r="B301" s="39" t="s">
        <v>1431</v>
      </c>
      <c r="C301" s="39" t="s">
        <v>1432</v>
      </c>
      <c r="D301" s="39" t="s">
        <v>109</v>
      </c>
      <c r="E301" s="48" t="s">
        <v>1110</v>
      </c>
      <c r="F301" s="49" t="s">
        <v>151</v>
      </c>
      <c r="G301" s="39" t="s">
        <v>2853</v>
      </c>
    </row>
    <row r="302" customFormat="false" ht="18" hidden="false" customHeight="true" outlineLevel="0" collapsed="false">
      <c r="A302" s="47" t="n">
        <v>301</v>
      </c>
      <c r="B302" s="39" t="s">
        <v>615</v>
      </c>
      <c r="C302" s="39" t="s">
        <v>1438</v>
      </c>
      <c r="D302" s="39" t="s">
        <v>101</v>
      </c>
      <c r="E302" s="48" t="s">
        <v>1440</v>
      </c>
      <c r="F302" s="49" t="s">
        <v>614</v>
      </c>
      <c r="G302" s="39" t="s">
        <v>2843</v>
      </c>
    </row>
    <row r="303" customFormat="false" ht="18" hidden="false" customHeight="true" outlineLevel="0" collapsed="false">
      <c r="A303" s="47" t="n">
        <v>302</v>
      </c>
      <c r="B303" s="39" t="s">
        <v>615</v>
      </c>
      <c r="C303" s="39" t="s">
        <v>1438</v>
      </c>
      <c r="D303" s="39" t="s">
        <v>77</v>
      </c>
      <c r="E303" s="48" t="s">
        <v>1173</v>
      </c>
      <c r="F303" s="49" t="s">
        <v>79</v>
      </c>
      <c r="G303" s="39" t="s">
        <v>2863</v>
      </c>
    </row>
    <row r="304" customFormat="false" ht="18" hidden="false" customHeight="true" outlineLevel="0" collapsed="false">
      <c r="A304" s="47" t="n">
        <v>303</v>
      </c>
      <c r="B304" s="39" t="s">
        <v>615</v>
      </c>
      <c r="C304" s="39" t="s">
        <v>1438</v>
      </c>
      <c r="D304" s="39" t="s">
        <v>2845</v>
      </c>
      <c r="E304" s="48" t="s">
        <v>1441</v>
      </c>
      <c r="F304" s="49" t="s">
        <v>2993</v>
      </c>
      <c r="G304" s="39" t="s">
        <v>2847</v>
      </c>
    </row>
    <row r="305" customFormat="false" ht="18" hidden="false" customHeight="true" outlineLevel="0" collapsed="false">
      <c r="A305" s="47" t="n">
        <v>304</v>
      </c>
      <c r="B305" s="39" t="s">
        <v>615</v>
      </c>
      <c r="C305" s="39" t="s">
        <v>1438</v>
      </c>
      <c r="D305" s="39" t="s">
        <v>2848</v>
      </c>
      <c r="E305" s="48" t="s">
        <v>1442</v>
      </c>
      <c r="F305" s="49" t="s">
        <v>2994</v>
      </c>
      <c r="G305" s="39" t="s">
        <v>2847</v>
      </c>
    </row>
    <row r="306" customFormat="false" ht="18" hidden="false" customHeight="true" outlineLevel="0" collapsed="false">
      <c r="A306" s="47" t="n">
        <v>305</v>
      </c>
      <c r="B306" s="39" t="s">
        <v>615</v>
      </c>
      <c r="C306" s="39" t="s">
        <v>1438</v>
      </c>
      <c r="D306" s="39" t="s">
        <v>2850</v>
      </c>
      <c r="E306" s="48" t="s">
        <v>1443</v>
      </c>
      <c r="F306" s="49" t="s">
        <v>2995</v>
      </c>
      <c r="G306" s="39" t="s">
        <v>2852</v>
      </c>
    </row>
    <row r="307" customFormat="false" ht="18" hidden="false" customHeight="true" outlineLevel="0" collapsed="false">
      <c r="A307" s="47" t="n">
        <v>306</v>
      </c>
      <c r="B307" s="39" t="s">
        <v>615</v>
      </c>
      <c r="C307" s="39" t="s">
        <v>1438</v>
      </c>
      <c r="D307" s="39" t="s">
        <v>109</v>
      </c>
      <c r="E307" s="48" t="s">
        <v>1110</v>
      </c>
      <c r="F307" s="49" t="s">
        <v>151</v>
      </c>
      <c r="G307" s="39" t="s">
        <v>2853</v>
      </c>
    </row>
    <row r="308" customFormat="false" ht="18" hidden="false" customHeight="true" outlineLevel="0" collapsed="false">
      <c r="A308" s="47" t="n">
        <v>307</v>
      </c>
      <c r="B308" s="39" t="s">
        <v>893</v>
      </c>
      <c r="C308" s="39" t="s">
        <v>1444</v>
      </c>
      <c r="D308" s="39" t="s">
        <v>101</v>
      </c>
      <c r="E308" s="48" t="s">
        <v>1446</v>
      </c>
      <c r="F308" s="49" t="s">
        <v>892</v>
      </c>
      <c r="G308" s="39" t="s">
        <v>2843</v>
      </c>
    </row>
    <row r="309" customFormat="false" ht="18" hidden="false" customHeight="true" outlineLevel="0" collapsed="false">
      <c r="A309" s="47" t="n">
        <v>308</v>
      </c>
      <c r="B309" s="39" t="s">
        <v>893</v>
      </c>
      <c r="C309" s="39" t="s">
        <v>1444</v>
      </c>
      <c r="D309" s="39" t="s">
        <v>2845</v>
      </c>
      <c r="E309" s="48" t="s">
        <v>1447</v>
      </c>
      <c r="F309" s="49" t="s">
        <v>2996</v>
      </c>
      <c r="G309" s="39" t="s">
        <v>2847</v>
      </c>
    </row>
    <row r="310" customFormat="false" ht="18" hidden="false" customHeight="true" outlineLevel="0" collapsed="false">
      <c r="A310" s="47" t="n">
        <v>309</v>
      </c>
      <c r="B310" s="39" t="s">
        <v>893</v>
      </c>
      <c r="C310" s="39" t="s">
        <v>1444</v>
      </c>
      <c r="D310" s="39" t="s">
        <v>2848</v>
      </c>
      <c r="E310" s="48" t="s">
        <v>1422</v>
      </c>
      <c r="F310" s="49" t="s">
        <v>2985</v>
      </c>
      <c r="G310" s="39" t="s">
        <v>2847</v>
      </c>
    </row>
    <row r="311" customFormat="false" ht="18" hidden="false" customHeight="true" outlineLevel="0" collapsed="false">
      <c r="A311" s="47" t="n">
        <v>310</v>
      </c>
      <c r="B311" s="39" t="s">
        <v>893</v>
      </c>
      <c r="C311" s="39" t="s">
        <v>1444</v>
      </c>
      <c r="D311" s="39" t="s">
        <v>2850</v>
      </c>
      <c r="E311" s="48" t="s">
        <v>1448</v>
      </c>
      <c r="F311" s="49" t="s">
        <v>2997</v>
      </c>
      <c r="G311" s="39" t="s">
        <v>2852</v>
      </c>
    </row>
    <row r="312" customFormat="false" ht="18" hidden="false" customHeight="true" outlineLevel="0" collapsed="false">
      <c r="A312" s="47" t="n">
        <v>311</v>
      </c>
      <c r="B312" s="39" t="s">
        <v>893</v>
      </c>
      <c r="C312" s="39" t="s">
        <v>1444</v>
      </c>
      <c r="D312" s="39" t="s">
        <v>109</v>
      </c>
      <c r="E312" s="48" t="s">
        <v>1110</v>
      </c>
      <c r="F312" s="49" t="s">
        <v>151</v>
      </c>
      <c r="G312" s="39" t="s">
        <v>2853</v>
      </c>
    </row>
    <row r="313" customFormat="false" ht="18" hidden="false" customHeight="true" outlineLevel="0" collapsed="false">
      <c r="A313" s="47" t="n">
        <v>312</v>
      </c>
      <c r="B313" s="39" t="s">
        <v>138</v>
      </c>
      <c r="C313" s="39" t="s">
        <v>1449</v>
      </c>
      <c r="D313" s="39" t="s">
        <v>102</v>
      </c>
      <c r="E313" s="48" t="s">
        <v>1146</v>
      </c>
      <c r="F313" s="49" t="s">
        <v>137</v>
      </c>
      <c r="G313" s="39" t="s">
        <v>2844</v>
      </c>
    </row>
    <row r="314" customFormat="false" ht="18" hidden="false" customHeight="true" outlineLevel="0" collapsed="false">
      <c r="A314" s="47" t="n">
        <v>313</v>
      </c>
      <c r="B314" s="39" t="s">
        <v>138</v>
      </c>
      <c r="C314" s="39" t="s">
        <v>1449</v>
      </c>
      <c r="D314" s="39" t="s">
        <v>77</v>
      </c>
      <c r="E314" s="48" t="s">
        <v>1257</v>
      </c>
      <c r="F314" s="49" t="s">
        <v>83</v>
      </c>
      <c r="G314" s="39" t="s">
        <v>2863</v>
      </c>
    </row>
    <row r="315" customFormat="false" ht="18" hidden="false" customHeight="true" outlineLevel="0" collapsed="false">
      <c r="A315" s="47" t="n">
        <v>314</v>
      </c>
      <c r="B315" s="39" t="s">
        <v>138</v>
      </c>
      <c r="C315" s="39" t="s">
        <v>1449</v>
      </c>
      <c r="D315" s="39" t="s">
        <v>2845</v>
      </c>
      <c r="E315" s="48" t="s">
        <v>1451</v>
      </c>
      <c r="F315" s="49" t="s">
        <v>2998</v>
      </c>
      <c r="G315" s="39" t="s">
        <v>2847</v>
      </c>
    </row>
    <row r="316" customFormat="false" ht="18" hidden="false" customHeight="true" outlineLevel="0" collapsed="false">
      <c r="A316" s="47" t="n">
        <v>315</v>
      </c>
      <c r="B316" s="39" t="s">
        <v>138</v>
      </c>
      <c r="C316" s="39" t="s">
        <v>1449</v>
      </c>
      <c r="D316" s="39" t="s">
        <v>2848</v>
      </c>
      <c r="E316" s="48" t="s">
        <v>1452</v>
      </c>
      <c r="F316" s="49" t="s">
        <v>2999</v>
      </c>
      <c r="G316" s="39" t="s">
        <v>2847</v>
      </c>
    </row>
    <row r="317" customFormat="false" ht="18" hidden="false" customHeight="true" outlineLevel="0" collapsed="false">
      <c r="A317" s="47" t="n">
        <v>316</v>
      </c>
      <c r="B317" s="39" t="s">
        <v>138</v>
      </c>
      <c r="C317" s="39" t="s">
        <v>1449</v>
      </c>
      <c r="D317" s="39" t="s">
        <v>2850</v>
      </c>
      <c r="E317" s="48" t="s">
        <v>1453</v>
      </c>
      <c r="F317" s="49" t="s">
        <v>3000</v>
      </c>
      <c r="G317" s="39" t="s">
        <v>2852</v>
      </c>
    </row>
    <row r="318" customFormat="false" ht="18" hidden="false" customHeight="true" outlineLevel="0" collapsed="false">
      <c r="A318" s="47" t="n">
        <v>317</v>
      </c>
      <c r="B318" s="39" t="s">
        <v>138</v>
      </c>
      <c r="C318" s="39" t="s">
        <v>1449</v>
      </c>
      <c r="D318" s="39" t="s">
        <v>109</v>
      </c>
      <c r="E318" s="48" t="s">
        <v>1132</v>
      </c>
      <c r="F318" s="49" t="s">
        <v>130</v>
      </c>
      <c r="G318" s="39" t="s">
        <v>2853</v>
      </c>
    </row>
    <row r="319" customFormat="false" ht="18" hidden="false" customHeight="true" outlineLevel="0" collapsed="false">
      <c r="A319" s="47" t="n">
        <v>318</v>
      </c>
      <c r="B319" s="39" t="s">
        <v>977</v>
      </c>
      <c r="C319" s="39" t="s">
        <v>1454</v>
      </c>
      <c r="D319" s="39" t="s">
        <v>2840</v>
      </c>
      <c r="E319" s="48" t="s">
        <v>1455</v>
      </c>
      <c r="F319" s="49" t="s">
        <v>3001</v>
      </c>
      <c r="G319" s="39" t="s">
        <v>2842</v>
      </c>
    </row>
    <row r="320" customFormat="false" ht="18" hidden="false" customHeight="true" outlineLevel="0" collapsed="false">
      <c r="A320" s="47" t="n">
        <v>319</v>
      </c>
      <c r="B320" s="39" t="s">
        <v>977</v>
      </c>
      <c r="C320" s="39" t="s">
        <v>1454</v>
      </c>
      <c r="D320" s="39" t="s">
        <v>101</v>
      </c>
      <c r="E320" s="48" t="s">
        <v>1456</v>
      </c>
      <c r="F320" s="49" t="s">
        <v>976</v>
      </c>
      <c r="G320" s="39" t="s">
        <v>2843</v>
      </c>
    </row>
    <row r="321" customFormat="false" ht="18" hidden="false" customHeight="true" outlineLevel="0" collapsed="false">
      <c r="A321" s="47" t="n">
        <v>320</v>
      </c>
      <c r="B321" s="39" t="s">
        <v>977</v>
      </c>
      <c r="C321" s="39" t="s">
        <v>1454</v>
      </c>
      <c r="D321" s="39" t="s">
        <v>2845</v>
      </c>
      <c r="E321" s="48" t="s">
        <v>1457</v>
      </c>
      <c r="F321" s="49" t="s">
        <v>3002</v>
      </c>
      <c r="G321" s="39" t="s">
        <v>2847</v>
      </c>
    </row>
    <row r="322" customFormat="false" ht="18" hidden="false" customHeight="true" outlineLevel="0" collapsed="false">
      <c r="A322" s="47" t="n">
        <v>321</v>
      </c>
      <c r="B322" s="39" t="s">
        <v>977</v>
      </c>
      <c r="C322" s="39" t="s">
        <v>1454</v>
      </c>
      <c r="D322" s="39" t="s">
        <v>2848</v>
      </c>
      <c r="E322" s="48" t="s">
        <v>1458</v>
      </c>
      <c r="F322" s="49" t="s">
        <v>3003</v>
      </c>
      <c r="G322" s="39" t="s">
        <v>2847</v>
      </c>
    </row>
    <row r="323" customFormat="false" ht="18" hidden="false" customHeight="true" outlineLevel="0" collapsed="false">
      <c r="A323" s="47" t="n">
        <v>322</v>
      </c>
      <c r="B323" s="39" t="s">
        <v>977</v>
      </c>
      <c r="C323" s="39" t="s">
        <v>1454</v>
      </c>
      <c r="D323" s="39" t="s">
        <v>2850</v>
      </c>
      <c r="E323" s="48" t="s">
        <v>1459</v>
      </c>
      <c r="F323" s="49" t="s">
        <v>3004</v>
      </c>
      <c r="G323" s="39" t="s">
        <v>2852</v>
      </c>
    </row>
    <row r="324" customFormat="false" ht="18" hidden="false" customHeight="true" outlineLevel="0" collapsed="false">
      <c r="A324" s="47" t="n">
        <v>323</v>
      </c>
      <c r="B324" s="39" t="s">
        <v>977</v>
      </c>
      <c r="C324" s="39" t="s">
        <v>1454</v>
      </c>
      <c r="D324" s="39" t="s">
        <v>109</v>
      </c>
      <c r="E324" s="48" t="s">
        <v>1110</v>
      </c>
      <c r="F324" s="49" t="s">
        <v>151</v>
      </c>
      <c r="G324" s="39" t="s">
        <v>2853</v>
      </c>
    </row>
    <row r="325" customFormat="false" ht="18" hidden="false" customHeight="true" outlineLevel="0" collapsed="false">
      <c r="A325" s="47" t="n">
        <v>324</v>
      </c>
      <c r="B325" s="39" t="s">
        <v>822</v>
      </c>
      <c r="C325" s="39" t="s">
        <v>1460</v>
      </c>
      <c r="D325" s="39" t="s">
        <v>100</v>
      </c>
      <c r="E325" s="48" t="s">
        <v>1462</v>
      </c>
      <c r="F325" s="49" t="s">
        <v>820</v>
      </c>
      <c r="G325" s="39" t="s">
        <v>2878</v>
      </c>
    </row>
    <row r="326" customFormat="false" ht="18" hidden="false" customHeight="true" outlineLevel="0" collapsed="false">
      <c r="A326" s="47" t="n">
        <v>325</v>
      </c>
      <c r="B326" s="39" t="s">
        <v>822</v>
      </c>
      <c r="C326" s="39" t="s">
        <v>1460</v>
      </c>
      <c r="D326" s="39" t="s">
        <v>101</v>
      </c>
      <c r="E326" s="48" t="s">
        <v>1463</v>
      </c>
      <c r="F326" s="49" t="s">
        <v>821</v>
      </c>
      <c r="G326" s="39" t="s">
        <v>2843</v>
      </c>
    </row>
    <row r="327" customFormat="false" ht="18" hidden="false" customHeight="true" outlineLevel="0" collapsed="false">
      <c r="A327" s="47" t="n">
        <v>326</v>
      </c>
      <c r="B327" s="39" t="s">
        <v>822</v>
      </c>
      <c r="C327" s="39" t="s">
        <v>1460</v>
      </c>
      <c r="D327" s="39" t="s">
        <v>102</v>
      </c>
      <c r="E327" s="48" t="s">
        <v>81</v>
      </c>
      <c r="F327" s="49" t="s">
        <v>257</v>
      </c>
      <c r="G327" s="39" t="s">
        <v>2844</v>
      </c>
    </row>
    <row r="328" customFormat="false" ht="18" hidden="false" customHeight="true" outlineLevel="0" collapsed="false">
      <c r="A328" s="47" t="n">
        <v>327</v>
      </c>
      <c r="B328" s="39" t="s">
        <v>822</v>
      </c>
      <c r="C328" s="39" t="s">
        <v>1460</v>
      </c>
      <c r="D328" s="39" t="s">
        <v>2845</v>
      </c>
      <c r="E328" s="48" t="s">
        <v>1464</v>
      </c>
      <c r="F328" s="49" t="s">
        <v>3005</v>
      </c>
      <c r="G328" s="39" t="s">
        <v>2847</v>
      </c>
    </row>
    <row r="329" customFormat="false" ht="18" hidden="false" customHeight="true" outlineLevel="0" collapsed="false">
      <c r="A329" s="47" t="n">
        <v>328</v>
      </c>
      <c r="B329" s="39" t="s">
        <v>822</v>
      </c>
      <c r="C329" s="39" t="s">
        <v>1460</v>
      </c>
      <c r="D329" s="39" t="s">
        <v>2848</v>
      </c>
      <c r="E329" s="48" t="s">
        <v>1465</v>
      </c>
      <c r="F329" s="49" t="s">
        <v>2039</v>
      </c>
      <c r="G329" s="39" t="s">
        <v>2847</v>
      </c>
    </row>
    <row r="330" customFormat="false" ht="18" hidden="false" customHeight="true" outlineLevel="0" collapsed="false">
      <c r="A330" s="47" t="n">
        <v>329</v>
      </c>
      <c r="B330" s="39" t="s">
        <v>822</v>
      </c>
      <c r="C330" s="39" t="s">
        <v>1460</v>
      </c>
      <c r="D330" s="39" t="s">
        <v>2850</v>
      </c>
      <c r="E330" s="48" t="s">
        <v>1466</v>
      </c>
      <c r="F330" s="49" t="s">
        <v>3006</v>
      </c>
      <c r="G330" s="39" t="s">
        <v>2852</v>
      </c>
    </row>
    <row r="331" customFormat="false" ht="18" hidden="false" customHeight="true" outlineLevel="0" collapsed="false">
      <c r="A331" s="47" t="n">
        <v>330</v>
      </c>
      <c r="B331" s="39" t="s">
        <v>822</v>
      </c>
      <c r="C331" s="39" t="s">
        <v>1460</v>
      </c>
      <c r="D331" s="39" t="s">
        <v>109</v>
      </c>
      <c r="E331" s="48" t="s">
        <v>1110</v>
      </c>
      <c r="F331" s="49" t="s">
        <v>151</v>
      </c>
      <c r="G331" s="39" t="s">
        <v>2853</v>
      </c>
    </row>
    <row r="332" customFormat="false" ht="18" hidden="false" customHeight="true" outlineLevel="0" collapsed="false">
      <c r="A332" s="47" t="n">
        <v>331</v>
      </c>
      <c r="B332" s="39" t="s">
        <v>1467</v>
      </c>
      <c r="C332" s="39" t="s">
        <v>1468</v>
      </c>
      <c r="D332" s="39" t="s">
        <v>2840</v>
      </c>
      <c r="E332" s="48" t="s">
        <v>1469</v>
      </c>
      <c r="F332" s="49" t="s">
        <v>2592</v>
      </c>
      <c r="G332" s="39" t="s">
        <v>2898</v>
      </c>
    </row>
    <row r="333" customFormat="false" ht="18" hidden="false" customHeight="true" outlineLevel="0" collapsed="false">
      <c r="A333" s="47" t="n">
        <v>332</v>
      </c>
      <c r="B333" s="39" t="s">
        <v>1467</v>
      </c>
      <c r="C333" s="39" t="s">
        <v>1468</v>
      </c>
      <c r="D333" s="39" t="s">
        <v>101</v>
      </c>
      <c r="E333" s="48" t="s">
        <v>1470</v>
      </c>
      <c r="F333" s="49" t="s">
        <v>473</v>
      </c>
      <c r="G333" s="39" t="s">
        <v>2843</v>
      </c>
    </row>
    <row r="334" customFormat="false" ht="18" hidden="false" customHeight="true" outlineLevel="0" collapsed="false">
      <c r="A334" s="47" t="n">
        <v>333</v>
      </c>
      <c r="B334" s="39" t="s">
        <v>1467</v>
      </c>
      <c r="C334" s="39" t="s">
        <v>1468</v>
      </c>
      <c r="D334" s="39" t="s">
        <v>2845</v>
      </c>
      <c r="E334" s="48" t="s">
        <v>1471</v>
      </c>
      <c r="F334" s="49" t="s">
        <v>3007</v>
      </c>
      <c r="G334" s="39" t="s">
        <v>2847</v>
      </c>
    </row>
    <row r="335" customFormat="false" ht="18" hidden="false" customHeight="true" outlineLevel="0" collapsed="false">
      <c r="A335" s="47" t="n">
        <v>334</v>
      </c>
      <c r="B335" s="39" t="s">
        <v>1467</v>
      </c>
      <c r="C335" s="39" t="s">
        <v>1468</v>
      </c>
      <c r="D335" s="39" t="s">
        <v>2848</v>
      </c>
      <c r="E335" s="48" t="s">
        <v>1472</v>
      </c>
      <c r="F335" s="49" t="s">
        <v>3008</v>
      </c>
      <c r="G335" s="39" t="s">
        <v>2847</v>
      </c>
    </row>
    <row r="336" customFormat="false" ht="18" hidden="false" customHeight="true" outlineLevel="0" collapsed="false">
      <c r="A336" s="47" t="n">
        <v>335</v>
      </c>
      <c r="B336" s="39" t="s">
        <v>1467</v>
      </c>
      <c r="C336" s="39" t="s">
        <v>1468</v>
      </c>
      <c r="D336" s="39" t="s">
        <v>2850</v>
      </c>
      <c r="E336" s="48" t="s">
        <v>1473</v>
      </c>
      <c r="F336" s="49" t="s">
        <v>3009</v>
      </c>
      <c r="G336" s="39" t="s">
        <v>2852</v>
      </c>
    </row>
    <row r="337" customFormat="false" ht="18" hidden="false" customHeight="true" outlineLevel="0" collapsed="false">
      <c r="A337" s="47" t="n">
        <v>336</v>
      </c>
      <c r="B337" s="39" t="s">
        <v>1467</v>
      </c>
      <c r="C337" s="39" t="s">
        <v>1468</v>
      </c>
      <c r="D337" s="39" t="s">
        <v>109</v>
      </c>
      <c r="E337" s="48" t="s">
        <v>1132</v>
      </c>
      <c r="F337" s="49" t="s">
        <v>130</v>
      </c>
      <c r="G337" s="39" t="s">
        <v>2853</v>
      </c>
    </row>
    <row r="338" customFormat="false" ht="18" hidden="false" customHeight="true" outlineLevel="0" collapsed="false">
      <c r="A338" s="47" t="n">
        <v>337</v>
      </c>
      <c r="B338" s="39" t="s">
        <v>849</v>
      </c>
      <c r="C338" s="39" t="s">
        <v>1474</v>
      </c>
      <c r="D338" s="39" t="s">
        <v>102</v>
      </c>
      <c r="E338" s="48" t="s">
        <v>1179</v>
      </c>
      <c r="F338" s="49" t="s">
        <v>150</v>
      </c>
      <c r="G338" s="39" t="s">
        <v>2844</v>
      </c>
    </row>
    <row r="339" customFormat="false" ht="18" hidden="false" customHeight="true" outlineLevel="0" collapsed="false">
      <c r="A339" s="47" t="n">
        <v>338</v>
      </c>
      <c r="B339" s="39" t="s">
        <v>849</v>
      </c>
      <c r="C339" s="39" t="s">
        <v>1474</v>
      </c>
      <c r="D339" s="39" t="s">
        <v>77</v>
      </c>
      <c r="E339" s="48" t="s">
        <v>1236</v>
      </c>
      <c r="F339" s="49" t="s">
        <v>80</v>
      </c>
      <c r="G339" s="39" t="s">
        <v>2863</v>
      </c>
    </row>
    <row r="340" customFormat="false" ht="18" hidden="false" customHeight="true" outlineLevel="0" collapsed="false">
      <c r="A340" s="47" t="n">
        <v>339</v>
      </c>
      <c r="B340" s="39" t="s">
        <v>849</v>
      </c>
      <c r="C340" s="39" t="s">
        <v>1474</v>
      </c>
      <c r="D340" s="39" t="s">
        <v>2845</v>
      </c>
      <c r="E340" s="48" t="s">
        <v>1476</v>
      </c>
      <c r="F340" s="49" t="s">
        <v>3010</v>
      </c>
      <c r="G340" s="39" t="s">
        <v>2847</v>
      </c>
    </row>
    <row r="341" customFormat="false" ht="18" hidden="false" customHeight="true" outlineLevel="0" collapsed="false">
      <c r="A341" s="47" t="n">
        <v>340</v>
      </c>
      <c r="B341" s="39" t="s">
        <v>849</v>
      </c>
      <c r="C341" s="39" t="s">
        <v>1474</v>
      </c>
      <c r="D341" s="39" t="s">
        <v>2848</v>
      </c>
      <c r="E341" s="48" t="s">
        <v>1477</v>
      </c>
      <c r="F341" s="49" t="s">
        <v>3011</v>
      </c>
      <c r="G341" s="39" t="s">
        <v>2847</v>
      </c>
    </row>
    <row r="342" customFormat="false" ht="18" hidden="false" customHeight="true" outlineLevel="0" collapsed="false">
      <c r="A342" s="47" t="n">
        <v>341</v>
      </c>
      <c r="B342" s="39" t="s">
        <v>849</v>
      </c>
      <c r="C342" s="39" t="s">
        <v>1474</v>
      </c>
      <c r="D342" s="39" t="s">
        <v>2850</v>
      </c>
      <c r="E342" s="48" t="s">
        <v>1478</v>
      </c>
      <c r="F342" s="49" t="s">
        <v>3012</v>
      </c>
      <c r="G342" s="39" t="s">
        <v>2852</v>
      </c>
    </row>
    <row r="343" customFormat="false" ht="18" hidden="false" customHeight="true" outlineLevel="0" collapsed="false">
      <c r="A343" s="47" t="n">
        <v>342</v>
      </c>
      <c r="B343" s="39" t="s">
        <v>849</v>
      </c>
      <c r="C343" s="39" t="s">
        <v>1474</v>
      </c>
      <c r="D343" s="39" t="s">
        <v>109</v>
      </c>
      <c r="E343" s="48" t="s">
        <v>1110</v>
      </c>
      <c r="F343" s="49" t="s">
        <v>151</v>
      </c>
      <c r="G343" s="39" t="s">
        <v>2853</v>
      </c>
    </row>
    <row r="344" customFormat="false" ht="18" hidden="false" customHeight="true" outlineLevel="0" collapsed="false">
      <c r="A344" s="47" t="n">
        <v>343</v>
      </c>
      <c r="B344" s="39" t="s">
        <v>854</v>
      </c>
      <c r="C344" s="39" t="s">
        <v>1479</v>
      </c>
      <c r="D344" s="39" t="s">
        <v>100</v>
      </c>
      <c r="E344" s="48" t="s">
        <v>1481</v>
      </c>
      <c r="F344" s="49" t="s">
        <v>852</v>
      </c>
      <c r="G344" s="39" t="s">
        <v>2878</v>
      </c>
    </row>
    <row r="345" customFormat="false" ht="18" hidden="false" customHeight="true" outlineLevel="0" collapsed="false">
      <c r="A345" s="47" t="n">
        <v>344</v>
      </c>
      <c r="B345" s="39" t="s">
        <v>854</v>
      </c>
      <c r="C345" s="39" t="s">
        <v>1479</v>
      </c>
      <c r="D345" s="39" t="s">
        <v>102</v>
      </c>
      <c r="E345" s="48" t="s">
        <v>1482</v>
      </c>
      <c r="F345" s="49" t="s">
        <v>163</v>
      </c>
      <c r="G345" s="39" t="s">
        <v>2844</v>
      </c>
    </row>
    <row r="346" customFormat="false" ht="18" hidden="false" customHeight="true" outlineLevel="0" collapsed="false">
      <c r="A346" s="47" t="n">
        <v>345</v>
      </c>
      <c r="B346" s="39" t="s">
        <v>854</v>
      </c>
      <c r="C346" s="39" t="s">
        <v>1479</v>
      </c>
      <c r="D346" s="39" t="s">
        <v>77</v>
      </c>
      <c r="E346" s="48" t="s">
        <v>1243</v>
      </c>
      <c r="F346" s="49" t="s">
        <v>79</v>
      </c>
      <c r="G346" s="39" t="s">
        <v>2863</v>
      </c>
    </row>
    <row r="347" customFormat="false" ht="18" hidden="false" customHeight="true" outlineLevel="0" collapsed="false">
      <c r="A347" s="47" t="n">
        <v>346</v>
      </c>
      <c r="B347" s="39" t="s">
        <v>854</v>
      </c>
      <c r="C347" s="39" t="s">
        <v>1479</v>
      </c>
      <c r="D347" s="39" t="s">
        <v>2845</v>
      </c>
      <c r="E347" s="48" t="s">
        <v>1483</v>
      </c>
      <c r="F347" s="49" t="s">
        <v>3013</v>
      </c>
      <c r="G347" s="39" t="s">
        <v>2847</v>
      </c>
    </row>
    <row r="348" customFormat="false" ht="18" hidden="false" customHeight="true" outlineLevel="0" collapsed="false">
      <c r="A348" s="47" t="n">
        <v>347</v>
      </c>
      <c r="B348" s="39" t="s">
        <v>854</v>
      </c>
      <c r="C348" s="39" t="s">
        <v>1479</v>
      </c>
      <c r="D348" s="39" t="s">
        <v>2848</v>
      </c>
      <c r="E348" s="48" t="s">
        <v>1484</v>
      </c>
      <c r="F348" s="49" t="s">
        <v>3014</v>
      </c>
      <c r="G348" s="39" t="s">
        <v>2847</v>
      </c>
    </row>
    <row r="349" customFormat="false" ht="18" hidden="false" customHeight="true" outlineLevel="0" collapsed="false">
      <c r="A349" s="47" t="n">
        <v>348</v>
      </c>
      <c r="B349" s="39" t="s">
        <v>854</v>
      </c>
      <c r="C349" s="39" t="s">
        <v>1479</v>
      </c>
      <c r="D349" s="39" t="s">
        <v>2850</v>
      </c>
      <c r="E349" s="48" t="s">
        <v>1485</v>
      </c>
      <c r="F349" s="49" t="s">
        <v>3015</v>
      </c>
      <c r="G349" s="39" t="s">
        <v>2852</v>
      </c>
    </row>
    <row r="350" customFormat="false" ht="18" hidden="false" customHeight="true" outlineLevel="0" collapsed="false">
      <c r="A350" s="47" t="n">
        <v>349</v>
      </c>
      <c r="B350" s="39" t="s">
        <v>854</v>
      </c>
      <c r="C350" s="39" t="s">
        <v>1479</v>
      </c>
      <c r="D350" s="39" t="s">
        <v>109</v>
      </c>
      <c r="E350" s="48" t="s">
        <v>1132</v>
      </c>
      <c r="F350" s="49" t="s">
        <v>130</v>
      </c>
      <c r="G350" s="39" t="s">
        <v>2853</v>
      </c>
    </row>
    <row r="351" customFormat="false" ht="18" hidden="false" customHeight="true" outlineLevel="0" collapsed="false">
      <c r="A351" s="47" t="n">
        <v>350</v>
      </c>
      <c r="B351" s="39" t="s">
        <v>994</v>
      </c>
      <c r="C351" s="39" t="s">
        <v>1486</v>
      </c>
      <c r="D351" s="39" t="s">
        <v>101</v>
      </c>
      <c r="E351" s="48" t="s">
        <v>1488</v>
      </c>
      <c r="F351" s="49" t="s">
        <v>993</v>
      </c>
      <c r="G351" s="39" t="s">
        <v>2843</v>
      </c>
    </row>
    <row r="352" customFormat="false" ht="18" hidden="false" customHeight="true" outlineLevel="0" collapsed="false">
      <c r="A352" s="47" t="n">
        <v>351</v>
      </c>
      <c r="B352" s="39" t="s">
        <v>994</v>
      </c>
      <c r="C352" s="39" t="s">
        <v>1486</v>
      </c>
      <c r="D352" s="39" t="s">
        <v>77</v>
      </c>
      <c r="E352" s="48" t="s">
        <v>1489</v>
      </c>
      <c r="F352" s="49" t="s">
        <v>81</v>
      </c>
      <c r="G352" s="39" t="s">
        <v>2863</v>
      </c>
    </row>
    <row r="353" customFormat="false" ht="18" hidden="false" customHeight="true" outlineLevel="0" collapsed="false">
      <c r="A353" s="47" t="n">
        <v>352</v>
      </c>
      <c r="B353" s="39" t="s">
        <v>994</v>
      </c>
      <c r="C353" s="39" t="s">
        <v>1486</v>
      </c>
      <c r="D353" s="39" t="s">
        <v>2845</v>
      </c>
      <c r="E353" s="48" t="s">
        <v>1490</v>
      </c>
      <c r="F353" s="49" t="s">
        <v>3016</v>
      </c>
      <c r="G353" s="39" t="s">
        <v>2847</v>
      </c>
    </row>
    <row r="354" customFormat="false" ht="18" hidden="false" customHeight="true" outlineLevel="0" collapsed="false">
      <c r="A354" s="47" t="n">
        <v>353</v>
      </c>
      <c r="B354" s="39" t="s">
        <v>994</v>
      </c>
      <c r="C354" s="39" t="s">
        <v>1486</v>
      </c>
      <c r="D354" s="39" t="s">
        <v>2848</v>
      </c>
      <c r="E354" s="48" t="s">
        <v>1403</v>
      </c>
      <c r="F354" s="49" t="s">
        <v>2976</v>
      </c>
      <c r="G354" s="39" t="s">
        <v>2847</v>
      </c>
    </row>
    <row r="355" customFormat="false" ht="18" hidden="false" customHeight="true" outlineLevel="0" collapsed="false">
      <c r="A355" s="47" t="n">
        <v>354</v>
      </c>
      <c r="B355" s="39" t="s">
        <v>994</v>
      </c>
      <c r="C355" s="39" t="s">
        <v>1486</v>
      </c>
      <c r="D355" s="39" t="s">
        <v>2850</v>
      </c>
      <c r="E355" s="48" t="s">
        <v>1491</v>
      </c>
      <c r="F355" s="49" t="s">
        <v>3017</v>
      </c>
      <c r="G355" s="39" t="s">
        <v>2852</v>
      </c>
    </row>
    <row r="356" customFormat="false" ht="18" hidden="false" customHeight="true" outlineLevel="0" collapsed="false">
      <c r="A356" s="47" t="n">
        <v>355</v>
      </c>
      <c r="B356" s="39" t="s">
        <v>994</v>
      </c>
      <c r="C356" s="39" t="s">
        <v>1486</v>
      </c>
      <c r="D356" s="39" t="s">
        <v>109</v>
      </c>
      <c r="E356" s="48" t="s">
        <v>1110</v>
      </c>
      <c r="F356" s="49" t="s">
        <v>151</v>
      </c>
      <c r="G356" s="39" t="s">
        <v>2853</v>
      </c>
    </row>
    <row r="357" customFormat="false" ht="18" hidden="false" customHeight="true" outlineLevel="0" collapsed="false">
      <c r="A357" s="47" t="n">
        <v>356</v>
      </c>
      <c r="B357" s="39" t="s">
        <v>1492</v>
      </c>
      <c r="C357" s="39" t="s">
        <v>1493</v>
      </c>
      <c r="D357" s="39" t="s">
        <v>101</v>
      </c>
      <c r="E357" s="48" t="s">
        <v>1495</v>
      </c>
      <c r="F357" s="49" t="s">
        <v>980</v>
      </c>
      <c r="G357" s="39" t="s">
        <v>2843</v>
      </c>
    </row>
    <row r="358" customFormat="false" ht="18" hidden="false" customHeight="true" outlineLevel="0" collapsed="false">
      <c r="A358" s="47" t="n">
        <v>357</v>
      </c>
      <c r="B358" s="39" t="s">
        <v>1492</v>
      </c>
      <c r="C358" s="39" t="s">
        <v>1493</v>
      </c>
      <c r="D358" s="39" t="s">
        <v>102</v>
      </c>
      <c r="E358" s="48" t="s">
        <v>1496</v>
      </c>
      <c r="F358" s="49" t="s">
        <v>295</v>
      </c>
      <c r="G358" s="39" t="s">
        <v>2844</v>
      </c>
    </row>
    <row r="359" customFormat="false" ht="18" hidden="false" customHeight="true" outlineLevel="0" collapsed="false">
      <c r="A359" s="47" t="n">
        <v>358</v>
      </c>
      <c r="B359" s="39" t="s">
        <v>1492</v>
      </c>
      <c r="C359" s="39" t="s">
        <v>1493</v>
      </c>
      <c r="D359" s="39" t="s">
        <v>2845</v>
      </c>
      <c r="E359" s="48" t="s">
        <v>1497</v>
      </c>
      <c r="F359" s="49" t="s">
        <v>3018</v>
      </c>
      <c r="G359" s="39" t="s">
        <v>2847</v>
      </c>
    </row>
    <row r="360" customFormat="false" ht="18" hidden="false" customHeight="true" outlineLevel="0" collapsed="false">
      <c r="A360" s="47" t="n">
        <v>359</v>
      </c>
      <c r="B360" s="39" t="s">
        <v>1492</v>
      </c>
      <c r="C360" s="39" t="s">
        <v>1493</v>
      </c>
      <c r="D360" s="39" t="s">
        <v>2848</v>
      </c>
      <c r="E360" s="48" t="s">
        <v>1498</v>
      </c>
      <c r="F360" s="49" t="s">
        <v>3019</v>
      </c>
      <c r="G360" s="39" t="s">
        <v>2847</v>
      </c>
    </row>
    <row r="361" customFormat="false" ht="18" hidden="false" customHeight="true" outlineLevel="0" collapsed="false">
      <c r="A361" s="47" t="n">
        <v>360</v>
      </c>
      <c r="B361" s="39" t="s">
        <v>1492</v>
      </c>
      <c r="C361" s="39" t="s">
        <v>1493</v>
      </c>
      <c r="D361" s="39" t="s">
        <v>2850</v>
      </c>
      <c r="E361" s="48" t="s">
        <v>1499</v>
      </c>
      <c r="F361" s="49" t="s">
        <v>3020</v>
      </c>
      <c r="G361" s="39" t="s">
        <v>2852</v>
      </c>
    </row>
    <row r="362" customFormat="false" ht="18" hidden="false" customHeight="true" outlineLevel="0" collapsed="false">
      <c r="A362" s="47" t="n">
        <v>361</v>
      </c>
      <c r="B362" s="39" t="s">
        <v>1492</v>
      </c>
      <c r="C362" s="39" t="s">
        <v>1493</v>
      </c>
      <c r="D362" s="39" t="s">
        <v>109</v>
      </c>
      <c r="E362" s="48" t="s">
        <v>1110</v>
      </c>
      <c r="F362" s="49" t="s">
        <v>151</v>
      </c>
      <c r="G362" s="39" t="s">
        <v>2853</v>
      </c>
    </row>
    <row r="363" customFormat="false" ht="18" hidden="false" customHeight="true" outlineLevel="0" collapsed="false">
      <c r="A363" s="47" t="n">
        <v>362</v>
      </c>
      <c r="B363" s="39" t="s">
        <v>1500</v>
      </c>
      <c r="C363" s="39" t="s">
        <v>1501</v>
      </c>
      <c r="D363" s="39" t="s">
        <v>100</v>
      </c>
      <c r="E363" s="48" t="s">
        <v>1503</v>
      </c>
      <c r="F363" s="49" t="s">
        <v>762</v>
      </c>
      <c r="G363" s="39" t="s">
        <v>2878</v>
      </c>
    </row>
    <row r="364" customFormat="false" ht="18" hidden="false" customHeight="true" outlineLevel="0" collapsed="false">
      <c r="A364" s="47" t="n">
        <v>363</v>
      </c>
      <c r="B364" s="39" t="s">
        <v>1500</v>
      </c>
      <c r="C364" s="39" t="s">
        <v>1501</v>
      </c>
      <c r="D364" s="39" t="s">
        <v>101</v>
      </c>
      <c r="E364" s="48" t="s">
        <v>1504</v>
      </c>
      <c r="F364" s="49" t="s">
        <v>763</v>
      </c>
      <c r="G364" s="39" t="s">
        <v>2843</v>
      </c>
    </row>
    <row r="365" customFormat="false" ht="18" hidden="false" customHeight="true" outlineLevel="0" collapsed="false">
      <c r="A365" s="47" t="n">
        <v>364</v>
      </c>
      <c r="B365" s="39" t="s">
        <v>1500</v>
      </c>
      <c r="C365" s="39" t="s">
        <v>1501</v>
      </c>
      <c r="D365" s="39" t="s">
        <v>102</v>
      </c>
      <c r="E365" s="48" t="s">
        <v>1505</v>
      </c>
      <c r="F365" s="49" t="s">
        <v>137</v>
      </c>
      <c r="G365" s="39" t="s">
        <v>2844</v>
      </c>
    </row>
    <row r="366" customFormat="false" ht="18" hidden="false" customHeight="true" outlineLevel="0" collapsed="false">
      <c r="A366" s="47" t="n">
        <v>365</v>
      </c>
      <c r="B366" s="39" t="s">
        <v>1500</v>
      </c>
      <c r="C366" s="39" t="s">
        <v>1501</v>
      </c>
      <c r="D366" s="39" t="s">
        <v>77</v>
      </c>
      <c r="E366" s="48" t="s">
        <v>1257</v>
      </c>
      <c r="F366" s="49" t="s">
        <v>83</v>
      </c>
      <c r="G366" s="39" t="s">
        <v>2863</v>
      </c>
    </row>
    <row r="367" customFormat="false" ht="18" hidden="false" customHeight="true" outlineLevel="0" collapsed="false">
      <c r="A367" s="47" t="n">
        <v>366</v>
      </c>
      <c r="B367" s="39" t="s">
        <v>1500</v>
      </c>
      <c r="C367" s="39" t="s">
        <v>1501</v>
      </c>
      <c r="D367" s="39" t="s">
        <v>2845</v>
      </c>
      <c r="E367" s="48" t="s">
        <v>1506</v>
      </c>
      <c r="F367" s="49" t="s">
        <v>3021</v>
      </c>
      <c r="G367" s="39" t="s">
        <v>2847</v>
      </c>
    </row>
    <row r="368" customFormat="false" ht="18" hidden="false" customHeight="true" outlineLevel="0" collapsed="false">
      <c r="A368" s="47" t="n">
        <v>367</v>
      </c>
      <c r="B368" s="39" t="s">
        <v>1500</v>
      </c>
      <c r="C368" s="39" t="s">
        <v>1501</v>
      </c>
      <c r="D368" s="39" t="s">
        <v>2848</v>
      </c>
      <c r="E368" s="48" t="s">
        <v>1507</v>
      </c>
      <c r="F368" s="49" t="s">
        <v>3022</v>
      </c>
      <c r="G368" s="39" t="s">
        <v>2847</v>
      </c>
    </row>
    <row r="369" customFormat="false" ht="18" hidden="false" customHeight="true" outlineLevel="0" collapsed="false">
      <c r="A369" s="47" t="n">
        <v>368</v>
      </c>
      <c r="B369" s="39" t="s">
        <v>1500</v>
      </c>
      <c r="C369" s="39" t="s">
        <v>1501</v>
      </c>
      <c r="D369" s="39" t="s">
        <v>2850</v>
      </c>
      <c r="E369" s="48" t="s">
        <v>1508</v>
      </c>
      <c r="F369" s="49" t="s">
        <v>3023</v>
      </c>
      <c r="G369" s="39" t="s">
        <v>2852</v>
      </c>
    </row>
    <row r="370" customFormat="false" ht="18" hidden="false" customHeight="true" outlineLevel="0" collapsed="false">
      <c r="A370" s="47" t="n">
        <v>369</v>
      </c>
      <c r="B370" s="39" t="s">
        <v>1500</v>
      </c>
      <c r="C370" s="39" t="s">
        <v>1501</v>
      </c>
      <c r="D370" s="39" t="s">
        <v>109</v>
      </c>
      <c r="E370" s="48" t="s">
        <v>1132</v>
      </c>
      <c r="F370" s="49" t="s">
        <v>130</v>
      </c>
      <c r="G370" s="39" t="s">
        <v>2853</v>
      </c>
    </row>
    <row r="371" customFormat="false" ht="18" hidden="false" customHeight="true" outlineLevel="0" collapsed="false">
      <c r="A371" s="47" t="n">
        <v>370</v>
      </c>
      <c r="B371" s="39" t="s">
        <v>387</v>
      </c>
      <c r="C371" s="39" t="s">
        <v>1509</v>
      </c>
      <c r="D371" s="39" t="s">
        <v>102</v>
      </c>
      <c r="E371" s="48" t="s">
        <v>1201</v>
      </c>
      <c r="F371" s="49" t="s">
        <v>128</v>
      </c>
      <c r="G371" s="39" t="s">
        <v>2844</v>
      </c>
    </row>
    <row r="372" customFormat="false" ht="18" hidden="false" customHeight="true" outlineLevel="0" collapsed="false">
      <c r="A372" s="47" t="n">
        <v>371</v>
      </c>
      <c r="B372" s="39" t="s">
        <v>387</v>
      </c>
      <c r="C372" s="39" t="s">
        <v>1509</v>
      </c>
      <c r="D372" s="39" t="s">
        <v>2845</v>
      </c>
      <c r="E372" s="48" t="s">
        <v>1511</v>
      </c>
      <c r="F372" s="49" t="s">
        <v>3024</v>
      </c>
      <c r="G372" s="39" t="s">
        <v>2847</v>
      </c>
    </row>
    <row r="373" customFormat="false" ht="18" hidden="false" customHeight="true" outlineLevel="0" collapsed="false">
      <c r="A373" s="47" t="n">
        <v>372</v>
      </c>
      <c r="B373" s="39" t="s">
        <v>387</v>
      </c>
      <c r="C373" s="39" t="s">
        <v>1509</v>
      </c>
      <c r="D373" s="39" t="s">
        <v>2848</v>
      </c>
      <c r="E373" s="48" t="s">
        <v>1512</v>
      </c>
      <c r="F373" s="49" t="s">
        <v>3025</v>
      </c>
      <c r="G373" s="39" t="s">
        <v>2847</v>
      </c>
    </row>
    <row r="374" customFormat="false" ht="18" hidden="false" customHeight="true" outlineLevel="0" collapsed="false">
      <c r="A374" s="47" t="n">
        <v>373</v>
      </c>
      <c r="B374" s="39" t="s">
        <v>387</v>
      </c>
      <c r="C374" s="39" t="s">
        <v>1509</v>
      </c>
      <c r="D374" s="39" t="s">
        <v>2850</v>
      </c>
      <c r="E374" s="48" t="s">
        <v>1514</v>
      </c>
      <c r="F374" s="49" t="s">
        <v>3026</v>
      </c>
      <c r="G374" s="39" t="s">
        <v>2852</v>
      </c>
    </row>
    <row r="375" customFormat="false" ht="18" hidden="false" customHeight="true" outlineLevel="0" collapsed="false">
      <c r="A375" s="47" t="n">
        <v>374</v>
      </c>
      <c r="B375" s="39" t="s">
        <v>387</v>
      </c>
      <c r="C375" s="39" t="s">
        <v>1509</v>
      </c>
      <c r="D375" s="39" t="s">
        <v>109</v>
      </c>
      <c r="E375" s="48" t="s">
        <v>1110</v>
      </c>
      <c r="F375" s="49" t="s">
        <v>151</v>
      </c>
      <c r="G375" s="39" t="s">
        <v>2853</v>
      </c>
    </row>
    <row r="376" customFormat="false" ht="18" hidden="false" customHeight="true" outlineLevel="0" collapsed="false">
      <c r="A376" s="47" t="n">
        <v>375</v>
      </c>
      <c r="B376" s="39" t="s">
        <v>641</v>
      </c>
      <c r="C376" s="39" t="s">
        <v>1515</v>
      </c>
      <c r="D376" s="39" t="s">
        <v>77</v>
      </c>
      <c r="E376" s="48" t="s">
        <v>1330</v>
      </c>
      <c r="F376" s="49" t="s">
        <v>80</v>
      </c>
      <c r="G376" s="39" t="s">
        <v>2863</v>
      </c>
    </row>
    <row r="377" customFormat="false" ht="18" hidden="false" customHeight="true" outlineLevel="0" collapsed="false">
      <c r="A377" s="47" t="n">
        <v>376</v>
      </c>
      <c r="B377" s="39" t="s">
        <v>641</v>
      </c>
      <c r="C377" s="39" t="s">
        <v>1515</v>
      </c>
      <c r="D377" s="39" t="s">
        <v>2845</v>
      </c>
      <c r="E377" s="48" t="s">
        <v>1517</v>
      </c>
      <c r="F377" s="49" t="s">
        <v>3027</v>
      </c>
      <c r="G377" s="39" t="s">
        <v>2847</v>
      </c>
    </row>
    <row r="378" customFormat="false" ht="18" hidden="false" customHeight="true" outlineLevel="0" collapsed="false">
      <c r="A378" s="47" t="n">
        <v>377</v>
      </c>
      <c r="B378" s="39" t="s">
        <v>641</v>
      </c>
      <c r="C378" s="39" t="s">
        <v>1515</v>
      </c>
      <c r="D378" s="39" t="s">
        <v>2848</v>
      </c>
      <c r="E378" s="48" t="s">
        <v>1518</v>
      </c>
      <c r="F378" s="49" t="s">
        <v>3028</v>
      </c>
      <c r="G378" s="39" t="s">
        <v>2847</v>
      </c>
    </row>
    <row r="379" customFormat="false" ht="18" hidden="false" customHeight="true" outlineLevel="0" collapsed="false">
      <c r="A379" s="47" t="n">
        <v>378</v>
      </c>
      <c r="B379" s="39" t="s">
        <v>641</v>
      </c>
      <c r="C379" s="39" t="s">
        <v>1515</v>
      </c>
      <c r="D379" s="39" t="s">
        <v>2850</v>
      </c>
      <c r="E379" s="48" t="s">
        <v>1519</v>
      </c>
      <c r="F379" s="49" t="s">
        <v>3029</v>
      </c>
      <c r="G379" s="39" t="s">
        <v>2852</v>
      </c>
    </row>
    <row r="380" customFormat="false" ht="18" hidden="false" customHeight="true" outlineLevel="0" collapsed="false">
      <c r="A380" s="47" t="n">
        <v>379</v>
      </c>
      <c r="B380" s="39" t="s">
        <v>641</v>
      </c>
      <c r="C380" s="39" t="s">
        <v>1515</v>
      </c>
      <c r="D380" s="39" t="s">
        <v>109</v>
      </c>
      <c r="E380" s="48" t="s">
        <v>1132</v>
      </c>
      <c r="F380" s="49" t="s">
        <v>130</v>
      </c>
      <c r="G380" s="39" t="s">
        <v>2853</v>
      </c>
    </row>
    <row r="381" customFormat="false" ht="18" hidden="false" customHeight="true" outlineLevel="0" collapsed="false">
      <c r="A381" s="47" t="n">
        <v>380</v>
      </c>
      <c r="B381" s="39" t="s">
        <v>307</v>
      </c>
      <c r="C381" s="39" t="s">
        <v>1520</v>
      </c>
      <c r="D381" s="39" t="s">
        <v>2840</v>
      </c>
      <c r="E381" s="48" t="s">
        <v>1521</v>
      </c>
      <c r="F381" s="49" t="s">
        <v>3030</v>
      </c>
      <c r="G381" s="39" t="s">
        <v>2842</v>
      </c>
    </row>
    <row r="382" customFormat="false" ht="18" hidden="false" customHeight="true" outlineLevel="0" collapsed="false">
      <c r="A382" s="47" t="n">
        <v>381</v>
      </c>
      <c r="B382" s="39" t="s">
        <v>307</v>
      </c>
      <c r="C382" s="39" t="s">
        <v>1520</v>
      </c>
      <c r="D382" s="39" t="s">
        <v>100</v>
      </c>
      <c r="E382" s="48" t="s">
        <v>1522</v>
      </c>
      <c r="F382" s="49" t="s">
        <v>305</v>
      </c>
      <c r="G382" s="39" t="s">
        <v>2878</v>
      </c>
    </row>
    <row r="383" customFormat="false" ht="18" hidden="false" customHeight="true" outlineLevel="0" collapsed="false">
      <c r="A383" s="47" t="n">
        <v>382</v>
      </c>
      <c r="B383" s="39" t="s">
        <v>307</v>
      </c>
      <c r="C383" s="39" t="s">
        <v>1520</v>
      </c>
      <c r="D383" s="39" t="s">
        <v>101</v>
      </c>
      <c r="E383" s="48" t="s">
        <v>1523</v>
      </c>
      <c r="F383" s="49" t="s">
        <v>306</v>
      </c>
      <c r="G383" s="39" t="s">
        <v>2843</v>
      </c>
    </row>
    <row r="384" customFormat="false" ht="18" hidden="false" customHeight="true" outlineLevel="0" collapsed="false">
      <c r="A384" s="47" t="n">
        <v>383</v>
      </c>
      <c r="B384" s="39" t="s">
        <v>307</v>
      </c>
      <c r="C384" s="39" t="s">
        <v>1520</v>
      </c>
      <c r="D384" s="39" t="s">
        <v>102</v>
      </c>
      <c r="E384" s="48" t="s">
        <v>1172</v>
      </c>
      <c r="F384" s="49" t="s">
        <v>128</v>
      </c>
      <c r="G384" s="39" t="s">
        <v>2844</v>
      </c>
    </row>
    <row r="385" customFormat="false" ht="18" hidden="false" customHeight="true" outlineLevel="0" collapsed="false">
      <c r="A385" s="47" t="n">
        <v>384</v>
      </c>
      <c r="B385" s="39" t="s">
        <v>307</v>
      </c>
      <c r="C385" s="39" t="s">
        <v>1520</v>
      </c>
      <c r="D385" s="39" t="s">
        <v>77</v>
      </c>
      <c r="E385" s="48" t="s">
        <v>1162</v>
      </c>
      <c r="F385" s="49" t="s">
        <v>79</v>
      </c>
      <c r="G385" s="39" t="s">
        <v>2863</v>
      </c>
    </row>
    <row r="386" customFormat="false" ht="18" hidden="false" customHeight="true" outlineLevel="0" collapsed="false">
      <c r="A386" s="47" t="n">
        <v>385</v>
      </c>
      <c r="B386" s="39" t="s">
        <v>307</v>
      </c>
      <c r="C386" s="39" t="s">
        <v>1520</v>
      </c>
      <c r="D386" s="39" t="s">
        <v>2845</v>
      </c>
      <c r="E386" s="48" t="s">
        <v>1524</v>
      </c>
      <c r="F386" s="49" t="s">
        <v>3031</v>
      </c>
      <c r="G386" s="39" t="s">
        <v>2847</v>
      </c>
    </row>
    <row r="387" customFormat="false" ht="18" hidden="false" customHeight="true" outlineLevel="0" collapsed="false">
      <c r="A387" s="47" t="n">
        <v>386</v>
      </c>
      <c r="B387" s="39" t="s">
        <v>307</v>
      </c>
      <c r="C387" s="39" t="s">
        <v>1520</v>
      </c>
      <c r="D387" s="39" t="s">
        <v>2848</v>
      </c>
      <c r="E387" s="48" t="s">
        <v>1525</v>
      </c>
      <c r="F387" s="49" t="s">
        <v>3032</v>
      </c>
      <c r="G387" s="39" t="s">
        <v>2847</v>
      </c>
    </row>
    <row r="388" customFormat="false" ht="18" hidden="false" customHeight="true" outlineLevel="0" collapsed="false">
      <c r="A388" s="47" t="n">
        <v>387</v>
      </c>
      <c r="B388" s="39" t="s">
        <v>307</v>
      </c>
      <c r="C388" s="39" t="s">
        <v>1520</v>
      </c>
      <c r="D388" s="39" t="s">
        <v>2850</v>
      </c>
      <c r="E388" s="48" t="s">
        <v>1526</v>
      </c>
      <c r="F388" s="49" t="s">
        <v>3033</v>
      </c>
      <c r="G388" s="39" t="s">
        <v>2852</v>
      </c>
    </row>
    <row r="389" customFormat="false" ht="18" hidden="false" customHeight="true" outlineLevel="0" collapsed="false">
      <c r="A389" s="47" t="n">
        <v>388</v>
      </c>
      <c r="B389" s="39" t="s">
        <v>307</v>
      </c>
      <c r="C389" s="39" t="s">
        <v>1520</v>
      </c>
      <c r="D389" s="39" t="s">
        <v>109</v>
      </c>
      <c r="E389" s="48" t="s">
        <v>1110</v>
      </c>
      <c r="F389" s="49" t="s">
        <v>151</v>
      </c>
      <c r="G389" s="39" t="s">
        <v>2853</v>
      </c>
    </row>
    <row r="390" customFormat="false" ht="18" hidden="false" customHeight="true" outlineLevel="0" collapsed="false">
      <c r="A390" s="47" t="n">
        <v>389</v>
      </c>
      <c r="B390" s="39" t="s">
        <v>923</v>
      </c>
      <c r="C390" s="39" t="s">
        <v>1527</v>
      </c>
      <c r="D390" s="39" t="s">
        <v>100</v>
      </c>
      <c r="E390" s="48" t="s">
        <v>1529</v>
      </c>
      <c r="F390" s="49" t="s">
        <v>921</v>
      </c>
      <c r="G390" s="39" t="s">
        <v>2878</v>
      </c>
    </row>
    <row r="391" customFormat="false" ht="18" hidden="false" customHeight="true" outlineLevel="0" collapsed="false">
      <c r="A391" s="47" t="n">
        <v>390</v>
      </c>
      <c r="B391" s="39" t="s">
        <v>923</v>
      </c>
      <c r="C391" s="39" t="s">
        <v>1527</v>
      </c>
      <c r="D391" s="39" t="s">
        <v>101</v>
      </c>
      <c r="E391" s="48" t="s">
        <v>1530</v>
      </c>
      <c r="F391" s="49" t="s">
        <v>922</v>
      </c>
      <c r="G391" s="39" t="s">
        <v>2843</v>
      </c>
    </row>
    <row r="392" customFormat="false" ht="18" hidden="false" customHeight="true" outlineLevel="0" collapsed="false">
      <c r="A392" s="47" t="n">
        <v>391</v>
      </c>
      <c r="B392" s="39" t="s">
        <v>923</v>
      </c>
      <c r="C392" s="39" t="s">
        <v>1527</v>
      </c>
      <c r="D392" s="39" t="s">
        <v>102</v>
      </c>
      <c r="E392" s="48" t="s">
        <v>1179</v>
      </c>
      <c r="F392" s="49" t="s">
        <v>150</v>
      </c>
      <c r="G392" s="39" t="s">
        <v>2844</v>
      </c>
    </row>
    <row r="393" customFormat="false" ht="18" hidden="false" customHeight="true" outlineLevel="0" collapsed="false">
      <c r="A393" s="47" t="n">
        <v>392</v>
      </c>
      <c r="B393" s="39" t="s">
        <v>923</v>
      </c>
      <c r="C393" s="39" t="s">
        <v>1527</v>
      </c>
      <c r="D393" s="39" t="s">
        <v>2845</v>
      </c>
      <c r="E393" s="48" t="s">
        <v>1531</v>
      </c>
      <c r="F393" s="49" t="s">
        <v>3034</v>
      </c>
      <c r="G393" s="39" t="s">
        <v>2847</v>
      </c>
    </row>
    <row r="394" customFormat="false" ht="18" hidden="false" customHeight="true" outlineLevel="0" collapsed="false">
      <c r="A394" s="47" t="n">
        <v>393</v>
      </c>
      <c r="B394" s="39" t="s">
        <v>923</v>
      </c>
      <c r="C394" s="39" t="s">
        <v>1527</v>
      </c>
      <c r="D394" s="39" t="s">
        <v>2848</v>
      </c>
      <c r="E394" s="48" t="s">
        <v>1532</v>
      </c>
      <c r="F394" s="49" t="s">
        <v>3035</v>
      </c>
      <c r="G394" s="39" t="s">
        <v>2847</v>
      </c>
    </row>
    <row r="395" customFormat="false" ht="18" hidden="false" customHeight="true" outlineLevel="0" collapsed="false">
      <c r="A395" s="47" t="n">
        <v>394</v>
      </c>
      <c r="B395" s="39" t="s">
        <v>923</v>
      </c>
      <c r="C395" s="39" t="s">
        <v>1527</v>
      </c>
      <c r="D395" s="39" t="s">
        <v>2850</v>
      </c>
      <c r="E395" s="48" t="s">
        <v>1533</v>
      </c>
      <c r="F395" s="49" t="s">
        <v>3036</v>
      </c>
      <c r="G395" s="39" t="s">
        <v>2852</v>
      </c>
    </row>
    <row r="396" customFormat="false" ht="18" hidden="false" customHeight="true" outlineLevel="0" collapsed="false">
      <c r="A396" s="47" t="n">
        <v>395</v>
      </c>
      <c r="B396" s="39" t="s">
        <v>923</v>
      </c>
      <c r="C396" s="39" t="s">
        <v>1527</v>
      </c>
      <c r="D396" s="39" t="s">
        <v>109</v>
      </c>
      <c r="E396" s="48" t="s">
        <v>1110</v>
      </c>
      <c r="F396" s="49" t="s">
        <v>151</v>
      </c>
      <c r="G396" s="39" t="s">
        <v>2853</v>
      </c>
    </row>
    <row r="397" customFormat="false" ht="18" hidden="false" customHeight="true" outlineLevel="0" collapsed="false">
      <c r="A397" s="47" t="n">
        <v>396</v>
      </c>
      <c r="B397" s="39" t="s">
        <v>911</v>
      </c>
      <c r="C397" s="39" t="s">
        <v>1534</v>
      </c>
      <c r="D397" s="39" t="s">
        <v>100</v>
      </c>
      <c r="E397" s="48" t="s">
        <v>1536</v>
      </c>
      <c r="F397" s="49" t="s">
        <v>909</v>
      </c>
      <c r="G397" s="39" t="s">
        <v>2878</v>
      </c>
    </row>
    <row r="398" customFormat="false" ht="18" hidden="false" customHeight="true" outlineLevel="0" collapsed="false">
      <c r="A398" s="47" t="n">
        <v>397</v>
      </c>
      <c r="B398" s="39" t="s">
        <v>911</v>
      </c>
      <c r="C398" s="39" t="s">
        <v>1534</v>
      </c>
      <c r="D398" s="39" t="s">
        <v>102</v>
      </c>
      <c r="E398" s="48" t="s">
        <v>1537</v>
      </c>
      <c r="F398" s="49" t="s">
        <v>150</v>
      </c>
      <c r="G398" s="39" t="s">
        <v>2844</v>
      </c>
    </row>
    <row r="399" customFormat="false" ht="18" hidden="false" customHeight="true" outlineLevel="0" collapsed="false">
      <c r="A399" s="47" t="n">
        <v>398</v>
      </c>
      <c r="B399" s="39" t="s">
        <v>911</v>
      </c>
      <c r="C399" s="39" t="s">
        <v>1534</v>
      </c>
      <c r="D399" s="39" t="s">
        <v>77</v>
      </c>
      <c r="E399" s="48" t="s">
        <v>1216</v>
      </c>
      <c r="F399" s="49" t="s">
        <v>80</v>
      </c>
      <c r="G399" s="39" t="s">
        <v>2863</v>
      </c>
    </row>
    <row r="400" customFormat="false" ht="18" hidden="false" customHeight="true" outlineLevel="0" collapsed="false">
      <c r="A400" s="47" t="n">
        <v>399</v>
      </c>
      <c r="B400" s="39" t="s">
        <v>911</v>
      </c>
      <c r="C400" s="39" t="s">
        <v>1534</v>
      </c>
      <c r="D400" s="39" t="s">
        <v>2845</v>
      </c>
      <c r="E400" s="48" t="s">
        <v>1538</v>
      </c>
      <c r="F400" s="49" t="s">
        <v>3037</v>
      </c>
      <c r="G400" s="39" t="s">
        <v>2847</v>
      </c>
    </row>
    <row r="401" customFormat="false" ht="18" hidden="false" customHeight="true" outlineLevel="0" collapsed="false">
      <c r="A401" s="47" t="n">
        <v>400</v>
      </c>
      <c r="B401" s="39" t="s">
        <v>911</v>
      </c>
      <c r="C401" s="39" t="s">
        <v>1534</v>
      </c>
      <c r="D401" s="39" t="s">
        <v>2848</v>
      </c>
      <c r="E401" s="48" t="s">
        <v>1539</v>
      </c>
      <c r="F401" s="49" t="s">
        <v>3038</v>
      </c>
      <c r="G401" s="39" t="s">
        <v>2847</v>
      </c>
    </row>
    <row r="402" customFormat="false" ht="18" hidden="false" customHeight="true" outlineLevel="0" collapsed="false">
      <c r="A402" s="47" t="n">
        <v>401</v>
      </c>
      <c r="B402" s="39" t="s">
        <v>911</v>
      </c>
      <c r="C402" s="39" t="s">
        <v>1534</v>
      </c>
      <c r="D402" s="39" t="s">
        <v>2850</v>
      </c>
      <c r="E402" s="48" t="s">
        <v>1225</v>
      </c>
      <c r="F402" s="49" t="s">
        <v>2901</v>
      </c>
      <c r="G402" s="39" t="s">
        <v>2852</v>
      </c>
    </row>
    <row r="403" customFormat="false" ht="18" hidden="false" customHeight="true" outlineLevel="0" collapsed="false">
      <c r="A403" s="47" t="n">
        <v>402</v>
      </c>
      <c r="B403" s="39" t="s">
        <v>911</v>
      </c>
      <c r="C403" s="39" t="s">
        <v>1534</v>
      </c>
      <c r="D403" s="39" t="s">
        <v>109</v>
      </c>
      <c r="E403" s="48" t="s">
        <v>1110</v>
      </c>
      <c r="F403" s="49" t="s">
        <v>151</v>
      </c>
      <c r="G403" s="39" t="s">
        <v>2853</v>
      </c>
    </row>
    <row r="404" customFormat="false" ht="18" hidden="false" customHeight="true" outlineLevel="0" collapsed="false">
      <c r="A404" s="47" t="n">
        <v>403</v>
      </c>
      <c r="B404" s="39" t="s">
        <v>1540</v>
      </c>
      <c r="C404" s="39" t="s">
        <v>1541</v>
      </c>
      <c r="D404" s="39" t="s">
        <v>101</v>
      </c>
      <c r="E404" s="48" t="s">
        <v>1543</v>
      </c>
      <c r="F404" s="49" t="s">
        <v>837</v>
      </c>
      <c r="G404" s="39" t="s">
        <v>2843</v>
      </c>
    </row>
    <row r="405" customFormat="false" ht="18" hidden="false" customHeight="true" outlineLevel="0" collapsed="false">
      <c r="A405" s="47" t="n">
        <v>404</v>
      </c>
      <c r="B405" s="39" t="s">
        <v>1540</v>
      </c>
      <c r="C405" s="39" t="s">
        <v>1541</v>
      </c>
      <c r="D405" s="39" t="s">
        <v>102</v>
      </c>
      <c r="E405" s="48" t="s">
        <v>1544</v>
      </c>
      <c r="F405" s="49" t="s">
        <v>163</v>
      </c>
      <c r="G405" s="39" t="s">
        <v>2844</v>
      </c>
    </row>
    <row r="406" customFormat="false" ht="18" hidden="false" customHeight="true" outlineLevel="0" collapsed="false">
      <c r="A406" s="47" t="n">
        <v>405</v>
      </c>
      <c r="B406" s="39" t="s">
        <v>1540</v>
      </c>
      <c r="C406" s="39" t="s">
        <v>1541</v>
      </c>
      <c r="D406" s="39" t="s">
        <v>77</v>
      </c>
      <c r="E406" s="48" t="s">
        <v>1243</v>
      </c>
      <c r="F406" s="49" t="s">
        <v>79</v>
      </c>
      <c r="G406" s="39" t="s">
        <v>2863</v>
      </c>
    </row>
    <row r="407" customFormat="false" ht="18" hidden="false" customHeight="true" outlineLevel="0" collapsed="false">
      <c r="A407" s="47" t="n">
        <v>406</v>
      </c>
      <c r="B407" s="39" t="s">
        <v>1540</v>
      </c>
      <c r="C407" s="39" t="s">
        <v>1541</v>
      </c>
      <c r="D407" s="39" t="s">
        <v>2845</v>
      </c>
      <c r="E407" s="48" t="s">
        <v>1545</v>
      </c>
      <c r="F407" s="49" t="s">
        <v>3039</v>
      </c>
      <c r="G407" s="39" t="s">
        <v>2847</v>
      </c>
    </row>
    <row r="408" customFormat="false" ht="18" hidden="false" customHeight="true" outlineLevel="0" collapsed="false">
      <c r="A408" s="47" t="n">
        <v>407</v>
      </c>
      <c r="B408" s="39" t="s">
        <v>1540</v>
      </c>
      <c r="C408" s="39" t="s">
        <v>1541</v>
      </c>
      <c r="D408" s="39" t="s">
        <v>2848</v>
      </c>
      <c r="E408" s="48" t="s">
        <v>1230</v>
      </c>
      <c r="F408" s="49" t="s">
        <v>2903</v>
      </c>
      <c r="G408" s="39" t="s">
        <v>2847</v>
      </c>
    </row>
    <row r="409" customFormat="false" ht="18" hidden="false" customHeight="true" outlineLevel="0" collapsed="false">
      <c r="A409" s="47" t="n">
        <v>408</v>
      </c>
      <c r="B409" s="39" t="s">
        <v>1540</v>
      </c>
      <c r="C409" s="39" t="s">
        <v>1541</v>
      </c>
      <c r="D409" s="39" t="s">
        <v>2850</v>
      </c>
      <c r="E409" s="48" t="s">
        <v>1547</v>
      </c>
      <c r="F409" s="49" t="s">
        <v>3040</v>
      </c>
      <c r="G409" s="39" t="s">
        <v>2852</v>
      </c>
    </row>
    <row r="410" customFormat="false" ht="18" hidden="false" customHeight="true" outlineLevel="0" collapsed="false">
      <c r="A410" s="47" t="n">
        <v>409</v>
      </c>
      <c r="B410" s="39" t="s">
        <v>1540</v>
      </c>
      <c r="C410" s="39" t="s">
        <v>1541</v>
      </c>
      <c r="D410" s="39" t="s">
        <v>109</v>
      </c>
      <c r="E410" s="48" t="s">
        <v>1110</v>
      </c>
      <c r="F410" s="49" t="s">
        <v>151</v>
      </c>
      <c r="G410" s="39" t="s">
        <v>2853</v>
      </c>
    </row>
    <row r="411" customFormat="false" ht="18" hidden="false" customHeight="true" outlineLevel="0" collapsed="false">
      <c r="A411" s="47" t="n">
        <v>410</v>
      </c>
      <c r="B411" s="39" t="s">
        <v>872</v>
      </c>
      <c r="C411" s="39" t="s">
        <v>1548</v>
      </c>
      <c r="D411" s="39" t="s">
        <v>100</v>
      </c>
      <c r="E411" s="48" t="s">
        <v>1550</v>
      </c>
      <c r="F411" s="49" t="s">
        <v>870</v>
      </c>
      <c r="G411" s="39" t="s">
        <v>2878</v>
      </c>
    </row>
    <row r="412" customFormat="false" ht="18" hidden="false" customHeight="true" outlineLevel="0" collapsed="false">
      <c r="A412" s="47" t="n">
        <v>411</v>
      </c>
      <c r="B412" s="39" t="s">
        <v>872</v>
      </c>
      <c r="C412" s="39" t="s">
        <v>1548</v>
      </c>
      <c r="D412" s="39" t="s">
        <v>101</v>
      </c>
      <c r="E412" s="48" t="s">
        <v>1551</v>
      </c>
      <c r="F412" s="49" t="s">
        <v>871</v>
      </c>
      <c r="G412" s="39" t="s">
        <v>2843</v>
      </c>
    </row>
    <row r="413" customFormat="false" ht="18" hidden="false" customHeight="true" outlineLevel="0" collapsed="false">
      <c r="A413" s="47" t="n">
        <v>412</v>
      </c>
      <c r="B413" s="39" t="s">
        <v>872</v>
      </c>
      <c r="C413" s="39" t="s">
        <v>1548</v>
      </c>
      <c r="D413" s="39" t="s">
        <v>77</v>
      </c>
      <c r="E413" s="48" t="s">
        <v>1162</v>
      </c>
      <c r="F413" s="49" t="s">
        <v>79</v>
      </c>
      <c r="G413" s="39" t="s">
        <v>2863</v>
      </c>
    </row>
    <row r="414" customFormat="false" ht="18" hidden="false" customHeight="true" outlineLevel="0" collapsed="false">
      <c r="A414" s="47" t="n">
        <v>413</v>
      </c>
      <c r="B414" s="39" t="s">
        <v>872</v>
      </c>
      <c r="C414" s="39" t="s">
        <v>1548</v>
      </c>
      <c r="D414" s="39" t="s">
        <v>2845</v>
      </c>
      <c r="E414" s="48" t="s">
        <v>1552</v>
      </c>
      <c r="F414" s="49" t="s">
        <v>3041</v>
      </c>
      <c r="G414" s="39" t="s">
        <v>2847</v>
      </c>
    </row>
    <row r="415" customFormat="false" ht="18" hidden="false" customHeight="true" outlineLevel="0" collapsed="false">
      <c r="A415" s="47" t="n">
        <v>414</v>
      </c>
      <c r="B415" s="39" t="s">
        <v>872</v>
      </c>
      <c r="C415" s="39" t="s">
        <v>1548</v>
      </c>
      <c r="D415" s="39" t="s">
        <v>2848</v>
      </c>
      <c r="E415" s="48" t="s">
        <v>1553</v>
      </c>
      <c r="F415" s="49" t="s">
        <v>3042</v>
      </c>
      <c r="G415" s="39" t="s">
        <v>2847</v>
      </c>
    </row>
    <row r="416" customFormat="false" ht="18" hidden="false" customHeight="true" outlineLevel="0" collapsed="false">
      <c r="A416" s="47" t="n">
        <v>415</v>
      </c>
      <c r="B416" s="39" t="s">
        <v>872</v>
      </c>
      <c r="C416" s="39" t="s">
        <v>1548</v>
      </c>
      <c r="D416" s="39" t="s">
        <v>2850</v>
      </c>
      <c r="E416" s="48" t="s">
        <v>1554</v>
      </c>
      <c r="F416" s="49" t="s">
        <v>3043</v>
      </c>
      <c r="G416" s="39" t="s">
        <v>2852</v>
      </c>
    </row>
    <row r="417" customFormat="false" ht="18" hidden="false" customHeight="true" outlineLevel="0" collapsed="false">
      <c r="A417" s="47" t="n">
        <v>416</v>
      </c>
      <c r="B417" s="39" t="s">
        <v>872</v>
      </c>
      <c r="C417" s="39" t="s">
        <v>1548</v>
      </c>
      <c r="D417" s="39" t="s">
        <v>109</v>
      </c>
      <c r="E417" s="48" t="s">
        <v>1110</v>
      </c>
      <c r="F417" s="49" t="s">
        <v>151</v>
      </c>
      <c r="G417" s="39" t="s">
        <v>2853</v>
      </c>
    </row>
    <row r="418" customFormat="false" ht="18" hidden="false" customHeight="true" outlineLevel="0" collapsed="false">
      <c r="A418" s="47" t="n">
        <v>417</v>
      </c>
      <c r="B418" s="39" t="s">
        <v>730</v>
      </c>
      <c r="C418" s="39" t="s">
        <v>1555</v>
      </c>
      <c r="D418" s="39" t="s">
        <v>101</v>
      </c>
      <c r="E418" s="48" t="s">
        <v>1557</v>
      </c>
      <c r="F418" s="49" t="s">
        <v>729</v>
      </c>
      <c r="G418" s="39" t="s">
        <v>2843</v>
      </c>
    </row>
    <row r="419" customFormat="false" ht="18" hidden="false" customHeight="true" outlineLevel="0" collapsed="false">
      <c r="A419" s="47" t="n">
        <v>418</v>
      </c>
      <c r="B419" s="39" t="s">
        <v>730</v>
      </c>
      <c r="C419" s="39" t="s">
        <v>1555</v>
      </c>
      <c r="D419" s="39" t="s">
        <v>2845</v>
      </c>
      <c r="E419" s="48" t="s">
        <v>1558</v>
      </c>
      <c r="F419" s="49" t="s">
        <v>3044</v>
      </c>
      <c r="G419" s="39" t="s">
        <v>2847</v>
      </c>
    </row>
    <row r="420" customFormat="false" ht="18" hidden="false" customHeight="true" outlineLevel="0" collapsed="false">
      <c r="A420" s="47" t="n">
        <v>419</v>
      </c>
      <c r="B420" s="39" t="s">
        <v>730</v>
      </c>
      <c r="C420" s="39" t="s">
        <v>1555</v>
      </c>
      <c r="D420" s="39" t="s">
        <v>2848</v>
      </c>
      <c r="E420" s="48" t="s">
        <v>1559</v>
      </c>
      <c r="F420" s="49" t="s">
        <v>3045</v>
      </c>
      <c r="G420" s="39" t="s">
        <v>2847</v>
      </c>
    </row>
    <row r="421" customFormat="false" ht="18" hidden="false" customHeight="true" outlineLevel="0" collapsed="false">
      <c r="A421" s="47" t="n">
        <v>420</v>
      </c>
      <c r="B421" s="39" t="s">
        <v>730</v>
      </c>
      <c r="C421" s="39" t="s">
        <v>1555</v>
      </c>
      <c r="D421" s="39" t="s">
        <v>2850</v>
      </c>
      <c r="E421" s="48" t="s">
        <v>1560</v>
      </c>
      <c r="F421" s="49" t="s">
        <v>3046</v>
      </c>
      <c r="G421" s="39" t="s">
        <v>2852</v>
      </c>
    </row>
    <row r="422" customFormat="false" ht="18" hidden="false" customHeight="true" outlineLevel="0" collapsed="false">
      <c r="A422" s="47" t="n">
        <v>421</v>
      </c>
      <c r="B422" s="39" t="s">
        <v>730</v>
      </c>
      <c r="C422" s="39" t="s">
        <v>1555</v>
      </c>
      <c r="D422" s="39" t="s">
        <v>109</v>
      </c>
      <c r="E422" s="48" t="s">
        <v>1132</v>
      </c>
      <c r="F422" s="49" t="s">
        <v>130</v>
      </c>
      <c r="G422" s="39" t="s">
        <v>2853</v>
      </c>
    </row>
    <row r="423" customFormat="false" ht="18" hidden="false" customHeight="true" outlineLevel="0" collapsed="false">
      <c r="A423" s="47" t="n">
        <v>422</v>
      </c>
      <c r="B423" s="39" t="s">
        <v>176</v>
      </c>
      <c r="C423" s="39" t="s">
        <v>1561</v>
      </c>
      <c r="D423" s="39" t="s">
        <v>101</v>
      </c>
      <c r="E423" s="48" t="s">
        <v>1563</v>
      </c>
      <c r="F423" s="49" t="s">
        <v>175</v>
      </c>
      <c r="G423" s="39" t="s">
        <v>2843</v>
      </c>
    </row>
    <row r="424" customFormat="false" ht="18" hidden="false" customHeight="true" outlineLevel="0" collapsed="false">
      <c r="A424" s="47" t="n">
        <v>423</v>
      </c>
      <c r="B424" s="39" t="s">
        <v>176</v>
      </c>
      <c r="C424" s="39" t="s">
        <v>1561</v>
      </c>
      <c r="D424" s="39" t="s">
        <v>102</v>
      </c>
      <c r="E424" s="48" t="s">
        <v>1564</v>
      </c>
      <c r="F424" s="49" t="s">
        <v>120</v>
      </c>
      <c r="G424" s="39" t="s">
        <v>2844</v>
      </c>
    </row>
    <row r="425" customFormat="false" ht="18" hidden="false" customHeight="true" outlineLevel="0" collapsed="false">
      <c r="A425" s="47" t="n">
        <v>424</v>
      </c>
      <c r="B425" s="39" t="s">
        <v>176</v>
      </c>
      <c r="C425" s="39" t="s">
        <v>1561</v>
      </c>
      <c r="D425" s="39" t="s">
        <v>77</v>
      </c>
      <c r="E425" s="48" t="s">
        <v>1236</v>
      </c>
      <c r="F425" s="49" t="s">
        <v>80</v>
      </c>
      <c r="G425" s="39" t="s">
        <v>2863</v>
      </c>
    </row>
    <row r="426" customFormat="false" ht="18" hidden="false" customHeight="true" outlineLevel="0" collapsed="false">
      <c r="A426" s="47" t="n">
        <v>425</v>
      </c>
      <c r="B426" s="39" t="s">
        <v>176</v>
      </c>
      <c r="C426" s="39" t="s">
        <v>1561</v>
      </c>
      <c r="D426" s="39" t="s">
        <v>2845</v>
      </c>
      <c r="E426" s="48" t="s">
        <v>1565</v>
      </c>
      <c r="F426" s="49" t="s">
        <v>3047</v>
      </c>
      <c r="G426" s="39" t="s">
        <v>2847</v>
      </c>
    </row>
    <row r="427" customFormat="false" ht="18" hidden="false" customHeight="true" outlineLevel="0" collapsed="false">
      <c r="A427" s="47" t="n">
        <v>426</v>
      </c>
      <c r="B427" s="39" t="s">
        <v>176</v>
      </c>
      <c r="C427" s="39" t="s">
        <v>1561</v>
      </c>
      <c r="D427" s="39" t="s">
        <v>2848</v>
      </c>
      <c r="E427" s="48" t="s">
        <v>1566</v>
      </c>
      <c r="F427" s="49" t="s">
        <v>2285</v>
      </c>
      <c r="G427" s="39" t="s">
        <v>2847</v>
      </c>
    </row>
    <row r="428" customFormat="false" ht="18" hidden="false" customHeight="true" outlineLevel="0" collapsed="false">
      <c r="A428" s="47" t="n">
        <v>427</v>
      </c>
      <c r="B428" s="39" t="s">
        <v>176</v>
      </c>
      <c r="C428" s="39" t="s">
        <v>1561</v>
      </c>
      <c r="D428" s="39" t="s">
        <v>2850</v>
      </c>
      <c r="E428" s="48" t="s">
        <v>1568</v>
      </c>
      <c r="F428" s="49" t="s">
        <v>3048</v>
      </c>
      <c r="G428" s="39" t="s">
        <v>2852</v>
      </c>
    </row>
    <row r="429" customFormat="false" ht="18" hidden="false" customHeight="true" outlineLevel="0" collapsed="false">
      <c r="A429" s="47" t="n">
        <v>428</v>
      </c>
      <c r="B429" s="39" t="s">
        <v>176</v>
      </c>
      <c r="C429" s="39" t="s">
        <v>1561</v>
      </c>
      <c r="D429" s="39" t="s">
        <v>109</v>
      </c>
      <c r="E429" s="48" t="s">
        <v>1132</v>
      </c>
      <c r="F429" s="49" t="s">
        <v>130</v>
      </c>
      <c r="G429" s="39" t="s">
        <v>2853</v>
      </c>
    </row>
    <row r="430" customFormat="false" ht="18" hidden="false" customHeight="true" outlineLevel="0" collapsed="false">
      <c r="A430" s="47" t="n">
        <v>429</v>
      </c>
      <c r="B430" s="39" t="s">
        <v>666</v>
      </c>
      <c r="C430" s="39" t="s">
        <v>1569</v>
      </c>
      <c r="D430" s="39" t="s">
        <v>2840</v>
      </c>
      <c r="E430" s="48" t="s">
        <v>1570</v>
      </c>
      <c r="F430" s="49" t="s">
        <v>3049</v>
      </c>
      <c r="G430" s="39" t="s">
        <v>2842</v>
      </c>
    </row>
    <row r="431" customFormat="false" ht="18" hidden="false" customHeight="true" outlineLevel="0" collapsed="false">
      <c r="A431" s="47" t="n">
        <v>430</v>
      </c>
      <c r="B431" s="39" t="s">
        <v>666</v>
      </c>
      <c r="C431" s="39" t="s">
        <v>1569</v>
      </c>
      <c r="D431" s="39" t="s">
        <v>101</v>
      </c>
      <c r="E431" s="48" t="s">
        <v>1571</v>
      </c>
      <c r="F431" s="49" t="s">
        <v>665</v>
      </c>
      <c r="G431" s="39" t="s">
        <v>2843</v>
      </c>
    </row>
    <row r="432" customFormat="false" ht="18" hidden="false" customHeight="true" outlineLevel="0" collapsed="false">
      <c r="A432" s="47" t="n">
        <v>431</v>
      </c>
      <c r="B432" s="39" t="s">
        <v>666</v>
      </c>
      <c r="C432" s="39" t="s">
        <v>1569</v>
      </c>
      <c r="D432" s="39" t="s">
        <v>2845</v>
      </c>
      <c r="E432" s="48" t="s">
        <v>1572</v>
      </c>
      <c r="F432" s="49" t="s">
        <v>3050</v>
      </c>
      <c r="G432" s="39" t="s">
        <v>2847</v>
      </c>
    </row>
    <row r="433" customFormat="false" ht="18" hidden="false" customHeight="true" outlineLevel="0" collapsed="false">
      <c r="A433" s="47" t="n">
        <v>432</v>
      </c>
      <c r="B433" s="39" t="s">
        <v>666</v>
      </c>
      <c r="C433" s="39" t="s">
        <v>1569</v>
      </c>
      <c r="D433" s="39" t="s">
        <v>2848</v>
      </c>
      <c r="E433" s="48" t="s">
        <v>1573</v>
      </c>
      <c r="F433" s="49" t="s">
        <v>3051</v>
      </c>
      <c r="G433" s="39" t="s">
        <v>2847</v>
      </c>
    </row>
    <row r="434" customFormat="false" ht="18" hidden="false" customHeight="true" outlineLevel="0" collapsed="false">
      <c r="A434" s="47" t="n">
        <v>433</v>
      </c>
      <c r="B434" s="39" t="s">
        <v>666</v>
      </c>
      <c r="C434" s="39" t="s">
        <v>1569</v>
      </c>
      <c r="D434" s="39" t="s">
        <v>2850</v>
      </c>
      <c r="E434" s="48" t="s">
        <v>1574</v>
      </c>
      <c r="F434" s="49" t="s">
        <v>3052</v>
      </c>
      <c r="G434" s="39" t="s">
        <v>2852</v>
      </c>
    </row>
    <row r="435" customFormat="false" ht="18" hidden="false" customHeight="true" outlineLevel="0" collapsed="false">
      <c r="A435" s="47" t="n">
        <v>434</v>
      </c>
      <c r="B435" s="39" t="s">
        <v>666</v>
      </c>
      <c r="C435" s="39" t="s">
        <v>1569</v>
      </c>
      <c r="D435" s="39" t="s">
        <v>109</v>
      </c>
      <c r="E435" s="48" t="s">
        <v>1132</v>
      </c>
      <c r="F435" s="49" t="s">
        <v>130</v>
      </c>
      <c r="G435" s="39" t="s">
        <v>2853</v>
      </c>
    </row>
    <row r="436" customFormat="false" ht="18" hidden="false" customHeight="true" outlineLevel="0" collapsed="false">
      <c r="A436" s="47" t="n">
        <v>435</v>
      </c>
      <c r="B436" s="39" t="s">
        <v>739</v>
      </c>
      <c r="C436" s="39" t="s">
        <v>1575</v>
      </c>
      <c r="D436" s="39" t="s">
        <v>102</v>
      </c>
      <c r="E436" s="48" t="s">
        <v>1577</v>
      </c>
      <c r="F436" s="49" t="s">
        <v>217</v>
      </c>
      <c r="G436" s="39" t="s">
        <v>2844</v>
      </c>
    </row>
    <row r="437" customFormat="false" ht="18" hidden="false" customHeight="true" outlineLevel="0" collapsed="false">
      <c r="A437" s="47" t="n">
        <v>436</v>
      </c>
      <c r="B437" s="39" t="s">
        <v>739</v>
      </c>
      <c r="C437" s="39" t="s">
        <v>1575</v>
      </c>
      <c r="D437" s="39" t="s">
        <v>2845</v>
      </c>
      <c r="E437" s="48" t="s">
        <v>1578</v>
      </c>
      <c r="F437" s="49" t="s">
        <v>3053</v>
      </c>
      <c r="G437" s="39" t="s">
        <v>2847</v>
      </c>
    </row>
    <row r="438" customFormat="false" ht="18" hidden="false" customHeight="true" outlineLevel="0" collapsed="false">
      <c r="A438" s="47" t="n">
        <v>437</v>
      </c>
      <c r="B438" s="39" t="s">
        <v>739</v>
      </c>
      <c r="C438" s="39" t="s">
        <v>1575</v>
      </c>
      <c r="D438" s="39" t="s">
        <v>2848</v>
      </c>
      <c r="E438" s="48" t="s">
        <v>1579</v>
      </c>
      <c r="F438" s="49" t="s">
        <v>3054</v>
      </c>
      <c r="G438" s="39" t="s">
        <v>2847</v>
      </c>
    </row>
    <row r="439" customFormat="false" ht="18" hidden="false" customHeight="true" outlineLevel="0" collapsed="false">
      <c r="A439" s="47" t="n">
        <v>438</v>
      </c>
      <c r="B439" s="39" t="s">
        <v>739</v>
      </c>
      <c r="C439" s="39" t="s">
        <v>1575</v>
      </c>
      <c r="D439" s="39" t="s">
        <v>2850</v>
      </c>
      <c r="E439" s="48" t="s">
        <v>1580</v>
      </c>
      <c r="F439" s="49" t="s">
        <v>3055</v>
      </c>
      <c r="G439" s="39" t="s">
        <v>2852</v>
      </c>
    </row>
    <row r="440" customFormat="false" ht="18" hidden="false" customHeight="true" outlineLevel="0" collapsed="false">
      <c r="A440" s="47" t="n">
        <v>439</v>
      </c>
      <c r="B440" s="39" t="s">
        <v>739</v>
      </c>
      <c r="C440" s="39" t="s">
        <v>1575</v>
      </c>
      <c r="D440" s="39" t="s">
        <v>109</v>
      </c>
      <c r="E440" s="48" t="s">
        <v>1110</v>
      </c>
      <c r="F440" s="49" t="s">
        <v>151</v>
      </c>
      <c r="G440" s="39" t="s">
        <v>2853</v>
      </c>
    </row>
    <row r="441" customFormat="false" ht="18" hidden="false" customHeight="true" outlineLevel="0" collapsed="false">
      <c r="A441" s="47" t="n">
        <v>440</v>
      </c>
      <c r="B441" s="39" t="s">
        <v>1581</v>
      </c>
      <c r="C441" s="39" t="s">
        <v>1582</v>
      </c>
      <c r="D441" s="39" t="s">
        <v>101</v>
      </c>
      <c r="E441" s="48" t="s">
        <v>1584</v>
      </c>
      <c r="F441" s="49" t="s">
        <v>452</v>
      </c>
      <c r="G441" s="39" t="s">
        <v>2843</v>
      </c>
    </row>
    <row r="442" customFormat="false" ht="18" hidden="false" customHeight="true" outlineLevel="0" collapsed="false">
      <c r="A442" s="47" t="n">
        <v>441</v>
      </c>
      <c r="B442" s="39" t="s">
        <v>1581</v>
      </c>
      <c r="C442" s="39" t="s">
        <v>1582</v>
      </c>
      <c r="D442" s="39" t="s">
        <v>77</v>
      </c>
      <c r="E442" s="48" t="s">
        <v>1585</v>
      </c>
      <c r="F442" s="49" t="s">
        <v>82</v>
      </c>
      <c r="G442" s="39" t="s">
        <v>2863</v>
      </c>
    </row>
    <row r="443" customFormat="false" ht="18" hidden="false" customHeight="true" outlineLevel="0" collapsed="false">
      <c r="A443" s="47" t="n">
        <v>442</v>
      </c>
      <c r="B443" s="39" t="s">
        <v>1581</v>
      </c>
      <c r="C443" s="39" t="s">
        <v>1582</v>
      </c>
      <c r="D443" s="39" t="s">
        <v>2845</v>
      </c>
      <c r="E443" s="48" t="s">
        <v>1195</v>
      </c>
      <c r="F443" s="49" t="s">
        <v>2886</v>
      </c>
      <c r="G443" s="39" t="s">
        <v>2847</v>
      </c>
    </row>
    <row r="444" customFormat="false" ht="18" hidden="false" customHeight="true" outlineLevel="0" collapsed="false">
      <c r="A444" s="47" t="n">
        <v>443</v>
      </c>
      <c r="B444" s="39" t="s">
        <v>1581</v>
      </c>
      <c r="C444" s="39" t="s">
        <v>1582</v>
      </c>
      <c r="D444" s="39" t="s">
        <v>2848</v>
      </c>
      <c r="E444" s="48" t="s">
        <v>1128</v>
      </c>
      <c r="F444" s="49" t="s">
        <v>2860</v>
      </c>
      <c r="G444" s="39" t="s">
        <v>2847</v>
      </c>
    </row>
    <row r="445" customFormat="false" ht="18" hidden="false" customHeight="true" outlineLevel="0" collapsed="false">
      <c r="A445" s="47" t="n">
        <v>444</v>
      </c>
      <c r="B445" s="39" t="s">
        <v>1581</v>
      </c>
      <c r="C445" s="39" t="s">
        <v>1582</v>
      </c>
      <c r="D445" s="39" t="s">
        <v>2850</v>
      </c>
      <c r="E445" s="48" t="s">
        <v>1586</v>
      </c>
      <c r="F445" s="49" t="s">
        <v>3056</v>
      </c>
      <c r="G445" s="39" t="s">
        <v>2852</v>
      </c>
    </row>
    <row r="446" customFormat="false" ht="18" hidden="false" customHeight="true" outlineLevel="0" collapsed="false">
      <c r="A446" s="47" t="n">
        <v>445</v>
      </c>
      <c r="B446" s="39" t="s">
        <v>1581</v>
      </c>
      <c r="C446" s="39" t="s">
        <v>1582</v>
      </c>
      <c r="D446" s="39" t="s">
        <v>109</v>
      </c>
      <c r="E446" s="48" t="s">
        <v>1110</v>
      </c>
      <c r="F446" s="49" t="s">
        <v>151</v>
      </c>
      <c r="G446" s="39" t="s">
        <v>2853</v>
      </c>
    </row>
    <row r="447" customFormat="false" ht="18" hidden="false" customHeight="true" outlineLevel="0" collapsed="false">
      <c r="A447" s="47" t="n">
        <v>446</v>
      </c>
      <c r="B447" s="39" t="s">
        <v>1587</v>
      </c>
      <c r="C447" s="39" t="s">
        <v>1588</v>
      </c>
      <c r="D447" s="39" t="s">
        <v>2840</v>
      </c>
      <c r="E447" s="48" t="s">
        <v>1589</v>
      </c>
      <c r="F447" s="49" t="s">
        <v>1861</v>
      </c>
      <c r="G447" s="39" t="s">
        <v>2842</v>
      </c>
    </row>
    <row r="448" customFormat="false" ht="18" hidden="false" customHeight="true" outlineLevel="0" collapsed="false">
      <c r="A448" s="47" t="n">
        <v>447</v>
      </c>
      <c r="B448" s="39" t="s">
        <v>1587</v>
      </c>
      <c r="C448" s="39" t="s">
        <v>1588</v>
      </c>
      <c r="D448" s="39" t="s">
        <v>100</v>
      </c>
      <c r="E448" s="48" t="s">
        <v>1590</v>
      </c>
      <c r="F448" s="49" t="s">
        <v>585</v>
      </c>
      <c r="G448" s="39" t="s">
        <v>2878</v>
      </c>
    </row>
    <row r="449" customFormat="false" ht="18" hidden="false" customHeight="true" outlineLevel="0" collapsed="false">
      <c r="A449" s="47" t="n">
        <v>448</v>
      </c>
      <c r="B449" s="39" t="s">
        <v>1587</v>
      </c>
      <c r="C449" s="39" t="s">
        <v>1588</v>
      </c>
      <c r="D449" s="39" t="s">
        <v>2845</v>
      </c>
      <c r="E449" s="48" t="s">
        <v>1591</v>
      </c>
      <c r="F449" s="49" t="s">
        <v>3057</v>
      </c>
      <c r="G449" s="39" t="s">
        <v>2847</v>
      </c>
    </row>
    <row r="450" customFormat="false" ht="18" hidden="false" customHeight="true" outlineLevel="0" collapsed="false">
      <c r="A450" s="47" t="n">
        <v>449</v>
      </c>
      <c r="B450" s="39" t="s">
        <v>1587</v>
      </c>
      <c r="C450" s="39" t="s">
        <v>1588</v>
      </c>
      <c r="D450" s="39" t="s">
        <v>2848</v>
      </c>
      <c r="E450" s="48" t="s">
        <v>1592</v>
      </c>
      <c r="F450" s="49" t="s">
        <v>3058</v>
      </c>
      <c r="G450" s="39" t="s">
        <v>2847</v>
      </c>
    </row>
    <row r="451" customFormat="false" ht="18" hidden="false" customHeight="true" outlineLevel="0" collapsed="false">
      <c r="A451" s="47" t="n">
        <v>450</v>
      </c>
      <c r="B451" s="39" t="s">
        <v>1587</v>
      </c>
      <c r="C451" s="39" t="s">
        <v>1588</v>
      </c>
      <c r="D451" s="39" t="s">
        <v>2850</v>
      </c>
      <c r="E451" s="48" t="s">
        <v>1593</v>
      </c>
      <c r="F451" s="49" t="s">
        <v>3059</v>
      </c>
      <c r="G451" s="39" t="s">
        <v>2852</v>
      </c>
    </row>
    <row r="452" customFormat="false" ht="18" hidden="false" customHeight="true" outlineLevel="0" collapsed="false">
      <c r="A452" s="47" t="n">
        <v>451</v>
      </c>
      <c r="B452" s="39" t="s">
        <v>1587</v>
      </c>
      <c r="C452" s="39" t="s">
        <v>1588</v>
      </c>
      <c r="D452" s="39" t="s">
        <v>109</v>
      </c>
      <c r="E452" s="48" t="s">
        <v>1110</v>
      </c>
      <c r="F452" s="49" t="s">
        <v>151</v>
      </c>
      <c r="G452" s="39" t="s">
        <v>2853</v>
      </c>
    </row>
    <row r="453" customFormat="false" ht="18" hidden="false" customHeight="true" outlineLevel="0" collapsed="false">
      <c r="A453" s="47" t="n">
        <v>452</v>
      </c>
      <c r="B453" s="39" t="s">
        <v>1014</v>
      </c>
      <c r="C453" s="39" t="s">
        <v>1594</v>
      </c>
      <c r="D453" s="39" t="s">
        <v>101</v>
      </c>
      <c r="E453" s="48" t="s">
        <v>1596</v>
      </c>
      <c r="F453" s="49" t="s">
        <v>1013</v>
      </c>
      <c r="G453" s="39" t="s">
        <v>2843</v>
      </c>
    </row>
    <row r="454" customFormat="false" ht="18" hidden="false" customHeight="true" outlineLevel="0" collapsed="false">
      <c r="A454" s="47" t="n">
        <v>453</v>
      </c>
      <c r="B454" s="39" t="s">
        <v>1014</v>
      </c>
      <c r="C454" s="39" t="s">
        <v>1594</v>
      </c>
      <c r="D454" s="39" t="s">
        <v>102</v>
      </c>
      <c r="E454" s="48" t="s">
        <v>1172</v>
      </c>
      <c r="F454" s="49" t="s">
        <v>128</v>
      </c>
      <c r="G454" s="39" t="s">
        <v>2844</v>
      </c>
    </row>
    <row r="455" customFormat="false" ht="18" hidden="false" customHeight="true" outlineLevel="0" collapsed="false">
      <c r="A455" s="47" t="n">
        <v>454</v>
      </c>
      <c r="B455" s="39" t="s">
        <v>1014</v>
      </c>
      <c r="C455" s="39" t="s">
        <v>1594</v>
      </c>
      <c r="D455" s="39" t="s">
        <v>2845</v>
      </c>
      <c r="E455" s="48" t="s">
        <v>1597</v>
      </c>
      <c r="F455" s="49" t="s">
        <v>3060</v>
      </c>
      <c r="G455" s="39" t="s">
        <v>2847</v>
      </c>
    </row>
    <row r="456" customFormat="false" ht="18" hidden="false" customHeight="true" outlineLevel="0" collapsed="false">
      <c r="A456" s="47" t="n">
        <v>455</v>
      </c>
      <c r="B456" s="39" t="s">
        <v>1014</v>
      </c>
      <c r="C456" s="39" t="s">
        <v>1594</v>
      </c>
      <c r="D456" s="39" t="s">
        <v>2848</v>
      </c>
      <c r="E456" s="48" t="s">
        <v>1403</v>
      </c>
      <c r="F456" s="49" t="s">
        <v>2976</v>
      </c>
      <c r="G456" s="39" t="s">
        <v>2847</v>
      </c>
    </row>
    <row r="457" customFormat="false" ht="18" hidden="false" customHeight="true" outlineLevel="0" collapsed="false">
      <c r="A457" s="47" t="n">
        <v>456</v>
      </c>
      <c r="B457" s="39" t="s">
        <v>1014</v>
      </c>
      <c r="C457" s="39" t="s">
        <v>1594</v>
      </c>
      <c r="D457" s="39" t="s">
        <v>2850</v>
      </c>
      <c r="E457" s="48" t="s">
        <v>1598</v>
      </c>
      <c r="F457" s="49" t="s">
        <v>3061</v>
      </c>
      <c r="G457" s="39" t="s">
        <v>2852</v>
      </c>
    </row>
    <row r="458" customFormat="false" ht="18" hidden="false" customHeight="true" outlineLevel="0" collapsed="false">
      <c r="A458" s="47" t="n">
        <v>457</v>
      </c>
      <c r="B458" s="39" t="s">
        <v>1014</v>
      </c>
      <c r="C458" s="39" t="s">
        <v>1594</v>
      </c>
      <c r="D458" s="39" t="s">
        <v>109</v>
      </c>
      <c r="E458" s="48" t="s">
        <v>1110</v>
      </c>
      <c r="F458" s="49" t="s">
        <v>151</v>
      </c>
      <c r="G458" s="39" t="s">
        <v>2853</v>
      </c>
    </row>
    <row r="459" customFormat="false" ht="18" hidden="false" customHeight="true" outlineLevel="0" collapsed="false">
      <c r="A459" s="47" t="n">
        <v>458</v>
      </c>
      <c r="B459" s="39" t="s">
        <v>442</v>
      </c>
      <c r="C459" s="39" t="s">
        <v>1599</v>
      </c>
      <c r="D459" s="39" t="s">
        <v>2840</v>
      </c>
      <c r="E459" s="48" t="s">
        <v>1600</v>
      </c>
      <c r="F459" s="49" t="s">
        <v>3062</v>
      </c>
      <c r="G459" s="39" t="s">
        <v>2842</v>
      </c>
    </row>
    <row r="460" customFormat="false" ht="18" hidden="false" customHeight="true" outlineLevel="0" collapsed="false">
      <c r="A460" s="47" t="n">
        <v>459</v>
      </c>
      <c r="B460" s="39" t="s">
        <v>442</v>
      </c>
      <c r="C460" s="39" t="s">
        <v>1599</v>
      </c>
      <c r="D460" s="39" t="s">
        <v>100</v>
      </c>
      <c r="E460" s="48" t="s">
        <v>1601</v>
      </c>
      <c r="F460" s="49" t="s">
        <v>440</v>
      </c>
      <c r="G460" s="39" t="s">
        <v>2870</v>
      </c>
    </row>
    <row r="461" customFormat="false" ht="18" hidden="false" customHeight="true" outlineLevel="0" collapsed="false">
      <c r="A461" s="47" t="n">
        <v>460</v>
      </c>
      <c r="B461" s="39" t="s">
        <v>442</v>
      </c>
      <c r="C461" s="39" t="s">
        <v>1599</v>
      </c>
      <c r="D461" s="39" t="s">
        <v>102</v>
      </c>
      <c r="E461" s="48" t="s">
        <v>1544</v>
      </c>
      <c r="F461" s="49" t="s">
        <v>163</v>
      </c>
      <c r="G461" s="39" t="s">
        <v>2844</v>
      </c>
    </row>
    <row r="462" customFormat="false" ht="18" hidden="false" customHeight="true" outlineLevel="0" collapsed="false">
      <c r="A462" s="47" t="n">
        <v>461</v>
      </c>
      <c r="B462" s="39" t="s">
        <v>442</v>
      </c>
      <c r="C462" s="39" t="s">
        <v>1599</v>
      </c>
      <c r="D462" s="39" t="s">
        <v>77</v>
      </c>
      <c r="E462" s="48" t="s">
        <v>1137</v>
      </c>
      <c r="F462" s="49" t="s">
        <v>79</v>
      </c>
      <c r="G462" s="39" t="s">
        <v>2863</v>
      </c>
    </row>
    <row r="463" customFormat="false" ht="18" hidden="false" customHeight="true" outlineLevel="0" collapsed="false">
      <c r="A463" s="47" t="n">
        <v>462</v>
      </c>
      <c r="B463" s="39" t="s">
        <v>442</v>
      </c>
      <c r="C463" s="39" t="s">
        <v>1599</v>
      </c>
      <c r="D463" s="39" t="s">
        <v>2845</v>
      </c>
      <c r="E463" s="48" t="s">
        <v>1602</v>
      </c>
      <c r="F463" s="49" t="s">
        <v>3063</v>
      </c>
      <c r="G463" s="39" t="s">
        <v>2847</v>
      </c>
    </row>
    <row r="464" customFormat="false" ht="18" hidden="false" customHeight="true" outlineLevel="0" collapsed="false">
      <c r="A464" s="47" t="n">
        <v>463</v>
      </c>
      <c r="B464" s="39" t="s">
        <v>442</v>
      </c>
      <c r="C464" s="39" t="s">
        <v>1599</v>
      </c>
      <c r="D464" s="39" t="s">
        <v>2848</v>
      </c>
      <c r="E464" s="48" t="s">
        <v>1603</v>
      </c>
      <c r="F464" s="49" t="s">
        <v>3064</v>
      </c>
      <c r="G464" s="39" t="s">
        <v>2847</v>
      </c>
    </row>
    <row r="465" customFormat="false" ht="18" hidden="false" customHeight="true" outlineLevel="0" collapsed="false">
      <c r="A465" s="47" t="n">
        <v>464</v>
      </c>
      <c r="B465" s="39" t="s">
        <v>442</v>
      </c>
      <c r="C465" s="39" t="s">
        <v>1599</v>
      </c>
      <c r="D465" s="39" t="s">
        <v>2850</v>
      </c>
      <c r="E465" s="48" t="s">
        <v>1604</v>
      </c>
      <c r="F465" s="49" t="s">
        <v>3065</v>
      </c>
      <c r="G465" s="39" t="s">
        <v>2852</v>
      </c>
    </row>
    <row r="466" customFormat="false" ht="18" hidden="false" customHeight="true" outlineLevel="0" collapsed="false">
      <c r="A466" s="47" t="n">
        <v>465</v>
      </c>
      <c r="B466" s="39" t="s">
        <v>442</v>
      </c>
      <c r="C466" s="39" t="s">
        <v>1599</v>
      </c>
      <c r="D466" s="39" t="s">
        <v>109</v>
      </c>
      <c r="E466" s="48" t="s">
        <v>1110</v>
      </c>
      <c r="F466" s="49" t="s">
        <v>151</v>
      </c>
      <c r="G466" s="39" t="s">
        <v>2853</v>
      </c>
    </row>
    <row r="467" customFormat="false" ht="18" hidden="false" customHeight="true" outlineLevel="0" collapsed="false">
      <c r="A467" s="47" t="n">
        <v>466</v>
      </c>
      <c r="B467" s="39" t="s">
        <v>1605</v>
      </c>
      <c r="C467" s="39" t="s">
        <v>1606</v>
      </c>
      <c r="D467" s="39" t="s">
        <v>102</v>
      </c>
      <c r="E467" s="48" t="s">
        <v>1194</v>
      </c>
      <c r="F467" s="49" t="s">
        <v>128</v>
      </c>
      <c r="G467" s="39" t="s">
        <v>2844</v>
      </c>
    </row>
    <row r="468" customFormat="false" ht="18" hidden="false" customHeight="true" outlineLevel="0" collapsed="false">
      <c r="A468" s="47" t="n">
        <v>467</v>
      </c>
      <c r="B468" s="39" t="s">
        <v>1605</v>
      </c>
      <c r="C468" s="39" t="s">
        <v>1606</v>
      </c>
      <c r="D468" s="39" t="s">
        <v>77</v>
      </c>
      <c r="E468" s="48" t="s">
        <v>1162</v>
      </c>
      <c r="F468" s="49" t="s">
        <v>79</v>
      </c>
      <c r="G468" s="39" t="s">
        <v>2863</v>
      </c>
    </row>
    <row r="469" customFormat="false" ht="18" hidden="false" customHeight="true" outlineLevel="0" collapsed="false">
      <c r="A469" s="47" t="n">
        <v>468</v>
      </c>
      <c r="B469" s="39" t="s">
        <v>1605</v>
      </c>
      <c r="C469" s="39" t="s">
        <v>1606</v>
      </c>
      <c r="D469" s="39" t="s">
        <v>2845</v>
      </c>
      <c r="E469" s="48" t="s">
        <v>1608</v>
      </c>
      <c r="F469" s="49" t="s">
        <v>3066</v>
      </c>
      <c r="G469" s="39" t="s">
        <v>2847</v>
      </c>
    </row>
    <row r="470" customFormat="false" ht="18" hidden="false" customHeight="true" outlineLevel="0" collapsed="false">
      <c r="A470" s="47" t="n">
        <v>469</v>
      </c>
      <c r="B470" s="39" t="s">
        <v>1605</v>
      </c>
      <c r="C470" s="39" t="s">
        <v>1606</v>
      </c>
      <c r="D470" s="39" t="s">
        <v>2848</v>
      </c>
      <c r="E470" s="48" t="s">
        <v>1609</v>
      </c>
      <c r="F470" s="49" t="s">
        <v>3067</v>
      </c>
      <c r="G470" s="39" t="s">
        <v>2847</v>
      </c>
    </row>
    <row r="471" customFormat="false" ht="18" hidden="false" customHeight="true" outlineLevel="0" collapsed="false">
      <c r="A471" s="47" t="n">
        <v>470</v>
      </c>
      <c r="B471" s="39" t="s">
        <v>1605</v>
      </c>
      <c r="C471" s="39" t="s">
        <v>1606</v>
      </c>
      <c r="D471" s="39" t="s">
        <v>2850</v>
      </c>
      <c r="E471" s="48" t="s">
        <v>1610</v>
      </c>
      <c r="F471" s="49" t="s">
        <v>3068</v>
      </c>
      <c r="G471" s="39" t="s">
        <v>2852</v>
      </c>
    </row>
    <row r="472" customFormat="false" ht="18" hidden="false" customHeight="true" outlineLevel="0" collapsed="false">
      <c r="A472" s="47" t="n">
        <v>471</v>
      </c>
      <c r="B472" s="39" t="s">
        <v>1605</v>
      </c>
      <c r="C472" s="39" t="s">
        <v>1606</v>
      </c>
      <c r="D472" s="39" t="s">
        <v>109</v>
      </c>
      <c r="E472" s="48" t="s">
        <v>1110</v>
      </c>
      <c r="F472" s="49" t="s">
        <v>151</v>
      </c>
      <c r="G472" s="39" t="s">
        <v>2853</v>
      </c>
    </row>
    <row r="473" customFormat="false" ht="18" hidden="false" customHeight="true" outlineLevel="0" collapsed="false">
      <c r="A473" s="47" t="n">
        <v>472</v>
      </c>
      <c r="B473" s="39" t="s">
        <v>631</v>
      </c>
      <c r="C473" s="39" t="s">
        <v>1611</v>
      </c>
      <c r="D473" s="39" t="s">
        <v>2840</v>
      </c>
      <c r="E473" s="48" t="s">
        <v>1612</v>
      </c>
      <c r="F473" s="49" t="s">
        <v>3069</v>
      </c>
      <c r="G473" s="39" t="s">
        <v>2842</v>
      </c>
    </row>
    <row r="474" customFormat="false" ht="18" hidden="false" customHeight="true" outlineLevel="0" collapsed="false">
      <c r="A474" s="47" t="n">
        <v>473</v>
      </c>
      <c r="B474" s="39" t="s">
        <v>631</v>
      </c>
      <c r="C474" s="39" t="s">
        <v>1611</v>
      </c>
      <c r="D474" s="39" t="s">
        <v>101</v>
      </c>
      <c r="E474" s="48" t="s">
        <v>1613</v>
      </c>
      <c r="F474" s="49" t="s">
        <v>630</v>
      </c>
      <c r="G474" s="39" t="s">
        <v>2843</v>
      </c>
    </row>
    <row r="475" customFormat="false" ht="18" hidden="false" customHeight="true" outlineLevel="0" collapsed="false">
      <c r="A475" s="47" t="n">
        <v>474</v>
      </c>
      <c r="B475" s="39" t="s">
        <v>631</v>
      </c>
      <c r="C475" s="39" t="s">
        <v>1611</v>
      </c>
      <c r="D475" s="39" t="s">
        <v>102</v>
      </c>
      <c r="E475" s="48" t="s">
        <v>81</v>
      </c>
      <c r="F475" s="49" t="s">
        <v>257</v>
      </c>
      <c r="G475" s="39" t="s">
        <v>2844</v>
      </c>
    </row>
    <row r="476" customFormat="false" ht="18" hidden="false" customHeight="true" outlineLevel="0" collapsed="false">
      <c r="A476" s="47" t="n">
        <v>475</v>
      </c>
      <c r="B476" s="39" t="s">
        <v>631</v>
      </c>
      <c r="C476" s="39" t="s">
        <v>1611</v>
      </c>
      <c r="D476" s="39" t="s">
        <v>77</v>
      </c>
      <c r="E476" s="48" t="s">
        <v>1489</v>
      </c>
      <c r="F476" s="49" t="s">
        <v>81</v>
      </c>
      <c r="G476" s="39" t="s">
        <v>2863</v>
      </c>
    </row>
    <row r="477" customFormat="false" ht="18" hidden="false" customHeight="true" outlineLevel="0" collapsed="false">
      <c r="A477" s="47" t="n">
        <v>476</v>
      </c>
      <c r="B477" s="39" t="s">
        <v>631</v>
      </c>
      <c r="C477" s="39" t="s">
        <v>1611</v>
      </c>
      <c r="D477" s="39" t="s">
        <v>2845</v>
      </c>
      <c r="E477" s="48" t="s">
        <v>1614</v>
      </c>
      <c r="F477" s="49" t="s">
        <v>3070</v>
      </c>
      <c r="G477" s="39" t="s">
        <v>2847</v>
      </c>
    </row>
    <row r="478" customFormat="false" ht="18" hidden="false" customHeight="true" outlineLevel="0" collapsed="false">
      <c r="A478" s="47" t="n">
        <v>477</v>
      </c>
      <c r="B478" s="39" t="s">
        <v>631</v>
      </c>
      <c r="C478" s="39" t="s">
        <v>1611</v>
      </c>
      <c r="D478" s="39" t="s">
        <v>2848</v>
      </c>
      <c r="E478" s="48" t="s">
        <v>1615</v>
      </c>
      <c r="F478" s="49" t="s">
        <v>3071</v>
      </c>
      <c r="G478" s="39" t="s">
        <v>2847</v>
      </c>
    </row>
    <row r="479" customFormat="false" ht="18" hidden="false" customHeight="true" outlineLevel="0" collapsed="false">
      <c r="A479" s="47" t="n">
        <v>478</v>
      </c>
      <c r="B479" s="39" t="s">
        <v>631</v>
      </c>
      <c r="C479" s="39" t="s">
        <v>1611</v>
      </c>
      <c r="D479" s="39" t="s">
        <v>2850</v>
      </c>
      <c r="E479" s="48" t="s">
        <v>1617</v>
      </c>
      <c r="F479" s="49" t="s">
        <v>3072</v>
      </c>
      <c r="G479" s="39" t="s">
        <v>2852</v>
      </c>
    </row>
    <row r="480" customFormat="false" ht="18" hidden="false" customHeight="true" outlineLevel="0" collapsed="false">
      <c r="A480" s="47" t="n">
        <v>479</v>
      </c>
      <c r="B480" s="39" t="s">
        <v>631</v>
      </c>
      <c r="C480" s="39" t="s">
        <v>1611</v>
      </c>
      <c r="D480" s="39" t="s">
        <v>109</v>
      </c>
      <c r="E480" s="48" t="s">
        <v>1132</v>
      </c>
      <c r="F480" s="49" t="s">
        <v>130</v>
      </c>
      <c r="G480" s="39" t="s">
        <v>2853</v>
      </c>
    </row>
    <row r="481" customFormat="false" ht="18" hidden="false" customHeight="true" outlineLevel="0" collapsed="false">
      <c r="A481" s="47" t="n">
        <v>480</v>
      </c>
      <c r="B481" s="39" t="s">
        <v>264</v>
      </c>
      <c r="C481" s="39" t="s">
        <v>1618</v>
      </c>
      <c r="D481" s="39" t="s">
        <v>2840</v>
      </c>
      <c r="E481" s="48" t="s">
        <v>1619</v>
      </c>
      <c r="F481" s="49" t="s">
        <v>3073</v>
      </c>
      <c r="G481" s="39" t="s">
        <v>2898</v>
      </c>
    </row>
    <row r="482" customFormat="false" ht="18" hidden="false" customHeight="true" outlineLevel="0" collapsed="false">
      <c r="A482" s="47" t="n">
        <v>481</v>
      </c>
      <c r="B482" s="39" t="s">
        <v>264</v>
      </c>
      <c r="C482" s="39" t="s">
        <v>1618</v>
      </c>
      <c r="D482" s="39" t="s">
        <v>102</v>
      </c>
      <c r="E482" s="48" t="s">
        <v>1544</v>
      </c>
      <c r="F482" s="49" t="s">
        <v>163</v>
      </c>
      <c r="G482" s="39" t="s">
        <v>2844</v>
      </c>
    </row>
    <row r="483" customFormat="false" ht="18" hidden="false" customHeight="true" outlineLevel="0" collapsed="false">
      <c r="A483" s="47" t="n">
        <v>482</v>
      </c>
      <c r="B483" s="39" t="s">
        <v>264</v>
      </c>
      <c r="C483" s="39" t="s">
        <v>1618</v>
      </c>
      <c r="D483" s="39" t="s">
        <v>2845</v>
      </c>
      <c r="E483" s="48" t="s">
        <v>1379</v>
      </c>
      <c r="F483" s="49" t="s">
        <v>2964</v>
      </c>
      <c r="G483" s="39" t="s">
        <v>2847</v>
      </c>
    </row>
    <row r="484" customFormat="false" ht="18" hidden="false" customHeight="true" outlineLevel="0" collapsed="false">
      <c r="A484" s="47" t="n">
        <v>483</v>
      </c>
      <c r="B484" s="39" t="s">
        <v>264</v>
      </c>
      <c r="C484" s="39" t="s">
        <v>1618</v>
      </c>
      <c r="D484" s="39" t="s">
        <v>2848</v>
      </c>
      <c r="E484" s="48" t="s">
        <v>1429</v>
      </c>
      <c r="F484" s="49" t="s">
        <v>2988</v>
      </c>
      <c r="G484" s="39" t="s">
        <v>2847</v>
      </c>
    </row>
    <row r="485" customFormat="false" ht="18" hidden="false" customHeight="true" outlineLevel="0" collapsed="false">
      <c r="A485" s="47" t="n">
        <v>484</v>
      </c>
      <c r="B485" s="39" t="s">
        <v>264</v>
      </c>
      <c r="C485" s="39" t="s">
        <v>1618</v>
      </c>
      <c r="D485" s="39" t="s">
        <v>2850</v>
      </c>
      <c r="E485" s="48" t="s">
        <v>1620</v>
      </c>
      <c r="F485" s="49" t="s">
        <v>3074</v>
      </c>
      <c r="G485" s="39" t="s">
        <v>2852</v>
      </c>
    </row>
    <row r="486" customFormat="false" ht="18" hidden="false" customHeight="true" outlineLevel="0" collapsed="false">
      <c r="A486" s="47" t="n">
        <v>485</v>
      </c>
      <c r="B486" s="39" t="s">
        <v>264</v>
      </c>
      <c r="C486" s="39" t="s">
        <v>1618</v>
      </c>
      <c r="D486" s="39" t="s">
        <v>109</v>
      </c>
      <c r="E486" s="48" t="s">
        <v>1110</v>
      </c>
      <c r="F486" s="49" t="s">
        <v>151</v>
      </c>
      <c r="G486" s="39" t="s">
        <v>2853</v>
      </c>
    </row>
    <row r="487" customFormat="false" ht="18" hidden="false" customHeight="true" outlineLevel="0" collapsed="false">
      <c r="A487" s="47" t="n">
        <v>486</v>
      </c>
      <c r="B487" s="39" t="s">
        <v>777</v>
      </c>
      <c r="C487" s="39" t="s">
        <v>1621</v>
      </c>
      <c r="D487" s="39" t="s">
        <v>100</v>
      </c>
      <c r="E487" s="48" t="s">
        <v>1623</v>
      </c>
      <c r="F487" s="49" t="s">
        <v>775</v>
      </c>
      <c r="G487" s="39" t="s">
        <v>2878</v>
      </c>
    </row>
    <row r="488" customFormat="false" ht="18" hidden="false" customHeight="true" outlineLevel="0" collapsed="false">
      <c r="A488" s="47" t="n">
        <v>487</v>
      </c>
      <c r="B488" s="39" t="s">
        <v>777</v>
      </c>
      <c r="C488" s="39" t="s">
        <v>1621</v>
      </c>
      <c r="D488" s="39" t="s">
        <v>101</v>
      </c>
      <c r="E488" s="48" t="s">
        <v>1624</v>
      </c>
      <c r="F488" s="49" t="s">
        <v>776</v>
      </c>
      <c r="G488" s="39" t="s">
        <v>2843</v>
      </c>
    </row>
    <row r="489" customFormat="false" ht="18" hidden="false" customHeight="true" outlineLevel="0" collapsed="false">
      <c r="A489" s="47" t="n">
        <v>488</v>
      </c>
      <c r="B489" s="39" t="s">
        <v>777</v>
      </c>
      <c r="C489" s="39" t="s">
        <v>1621</v>
      </c>
      <c r="D489" s="39" t="s">
        <v>102</v>
      </c>
      <c r="E489" s="48" t="s">
        <v>81</v>
      </c>
      <c r="F489" s="49" t="s">
        <v>257</v>
      </c>
      <c r="G489" s="39" t="s">
        <v>2844</v>
      </c>
    </row>
    <row r="490" customFormat="false" ht="18" hidden="false" customHeight="true" outlineLevel="0" collapsed="false">
      <c r="A490" s="47" t="n">
        <v>489</v>
      </c>
      <c r="B490" s="39" t="s">
        <v>777</v>
      </c>
      <c r="C490" s="39" t="s">
        <v>1621</v>
      </c>
      <c r="D490" s="39" t="s">
        <v>77</v>
      </c>
      <c r="E490" s="48" t="s">
        <v>1389</v>
      </c>
      <c r="F490" s="49" t="s">
        <v>81</v>
      </c>
      <c r="G490" s="39" t="s">
        <v>2863</v>
      </c>
    </row>
    <row r="491" customFormat="false" ht="18" hidden="false" customHeight="true" outlineLevel="0" collapsed="false">
      <c r="A491" s="47" t="n">
        <v>490</v>
      </c>
      <c r="B491" s="39" t="s">
        <v>777</v>
      </c>
      <c r="C491" s="39" t="s">
        <v>1621</v>
      </c>
      <c r="D491" s="39" t="s">
        <v>2845</v>
      </c>
      <c r="E491" s="48" t="s">
        <v>1625</v>
      </c>
      <c r="F491" s="49" t="s">
        <v>3075</v>
      </c>
      <c r="G491" s="39" t="s">
        <v>2847</v>
      </c>
    </row>
    <row r="492" customFormat="false" ht="18" hidden="false" customHeight="true" outlineLevel="0" collapsed="false">
      <c r="A492" s="47" t="n">
        <v>491</v>
      </c>
      <c r="B492" s="39" t="s">
        <v>777</v>
      </c>
      <c r="C492" s="39" t="s">
        <v>1621</v>
      </c>
      <c r="D492" s="39" t="s">
        <v>2848</v>
      </c>
      <c r="E492" s="48" t="s">
        <v>1626</v>
      </c>
      <c r="F492" s="49" t="s">
        <v>3076</v>
      </c>
      <c r="G492" s="39" t="s">
        <v>2847</v>
      </c>
    </row>
    <row r="493" customFormat="false" ht="18" hidden="false" customHeight="true" outlineLevel="0" collapsed="false">
      <c r="A493" s="47" t="n">
        <v>492</v>
      </c>
      <c r="B493" s="39" t="s">
        <v>777</v>
      </c>
      <c r="C493" s="39" t="s">
        <v>1621</v>
      </c>
      <c r="D493" s="39" t="s">
        <v>2850</v>
      </c>
      <c r="E493" s="48" t="s">
        <v>1628</v>
      </c>
      <c r="F493" s="49" t="s">
        <v>3077</v>
      </c>
      <c r="G493" s="39" t="s">
        <v>2852</v>
      </c>
    </row>
    <row r="494" customFormat="false" ht="18" hidden="false" customHeight="true" outlineLevel="0" collapsed="false">
      <c r="A494" s="47" t="n">
        <v>493</v>
      </c>
      <c r="B494" s="39" t="s">
        <v>777</v>
      </c>
      <c r="C494" s="39" t="s">
        <v>1621</v>
      </c>
      <c r="D494" s="39" t="s">
        <v>109</v>
      </c>
      <c r="E494" s="48" t="s">
        <v>1110</v>
      </c>
      <c r="F494" s="49" t="s">
        <v>151</v>
      </c>
      <c r="G494" s="39" t="s">
        <v>2853</v>
      </c>
    </row>
    <row r="495" customFormat="false" ht="18" hidden="false" customHeight="true" outlineLevel="0" collapsed="false">
      <c r="A495" s="47" t="n">
        <v>494</v>
      </c>
      <c r="B495" s="39" t="s">
        <v>573</v>
      </c>
      <c r="C495" s="39" t="s">
        <v>1629</v>
      </c>
      <c r="D495" s="39" t="s">
        <v>2840</v>
      </c>
      <c r="E495" s="48" t="s">
        <v>1630</v>
      </c>
      <c r="F495" s="49" t="s">
        <v>3078</v>
      </c>
      <c r="G495" s="39" t="s">
        <v>2842</v>
      </c>
    </row>
    <row r="496" customFormat="false" ht="18" hidden="false" customHeight="true" outlineLevel="0" collapsed="false">
      <c r="A496" s="47" t="n">
        <v>495</v>
      </c>
      <c r="B496" s="39" t="s">
        <v>573</v>
      </c>
      <c r="C496" s="39" t="s">
        <v>1629</v>
      </c>
      <c r="D496" s="39" t="s">
        <v>100</v>
      </c>
      <c r="E496" s="48" t="s">
        <v>1631</v>
      </c>
      <c r="F496" s="49" t="s">
        <v>571</v>
      </c>
      <c r="G496" s="39" t="s">
        <v>2878</v>
      </c>
    </row>
    <row r="497" customFormat="false" ht="18" hidden="false" customHeight="true" outlineLevel="0" collapsed="false">
      <c r="A497" s="47" t="n">
        <v>496</v>
      </c>
      <c r="B497" s="39" t="s">
        <v>573</v>
      </c>
      <c r="C497" s="39" t="s">
        <v>1629</v>
      </c>
      <c r="D497" s="39" t="s">
        <v>102</v>
      </c>
      <c r="E497" s="48" t="s">
        <v>1337</v>
      </c>
      <c r="F497" s="49" t="s">
        <v>128</v>
      </c>
      <c r="G497" s="39" t="s">
        <v>2844</v>
      </c>
    </row>
    <row r="498" customFormat="false" ht="18" hidden="false" customHeight="true" outlineLevel="0" collapsed="false">
      <c r="A498" s="47" t="n">
        <v>497</v>
      </c>
      <c r="B498" s="39" t="s">
        <v>573</v>
      </c>
      <c r="C498" s="39" t="s">
        <v>1629</v>
      </c>
      <c r="D498" s="39" t="s">
        <v>2845</v>
      </c>
      <c r="E498" s="48" t="s">
        <v>1632</v>
      </c>
      <c r="F498" s="49" t="s">
        <v>3079</v>
      </c>
      <c r="G498" s="39" t="s">
        <v>2847</v>
      </c>
    </row>
    <row r="499" customFormat="false" ht="18" hidden="false" customHeight="true" outlineLevel="0" collapsed="false">
      <c r="A499" s="47" t="n">
        <v>498</v>
      </c>
      <c r="B499" s="39" t="s">
        <v>573</v>
      </c>
      <c r="C499" s="39" t="s">
        <v>1629</v>
      </c>
      <c r="D499" s="39" t="s">
        <v>2848</v>
      </c>
      <c r="E499" s="48" t="s">
        <v>1633</v>
      </c>
      <c r="F499" s="49" t="s">
        <v>3080</v>
      </c>
      <c r="G499" s="39" t="s">
        <v>2847</v>
      </c>
    </row>
    <row r="500" customFormat="false" ht="18" hidden="false" customHeight="true" outlineLevel="0" collapsed="false">
      <c r="A500" s="47" t="n">
        <v>499</v>
      </c>
      <c r="B500" s="39" t="s">
        <v>573</v>
      </c>
      <c r="C500" s="39" t="s">
        <v>1629</v>
      </c>
      <c r="D500" s="39" t="s">
        <v>2850</v>
      </c>
      <c r="E500" s="48" t="s">
        <v>1634</v>
      </c>
      <c r="F500" s="49" t="s">
        <v>3081</v>
      </c>
      <c r="G500" s="39" t="s">
        <v>2852</v>
      </c>
    </row>
    <row r="501" customFormat="false" ht="18" hidden="false" customHeight="true" outlineLevel="0" collapsed="false">
      <c r="A501" s="47" t="n">
        <v>500</v>
      </c>
      <c r="B501" s="39" t="s">
        <v>573</v>
      </c>
      <c r="C501" s="39" t="s">
        <v>1629</v>
      </c>
      <c r="D501" s="39" t="s">
        <v>109</v>
      </c>
      <c r="E501" s="48" t="s">
        <v>1132</v>
      </c>
      <c r="F501" s="49" t="s">
        <v>130</v>
      </c>
      <c r="G501" s="39" t="s">
        <v>2853</v>
      </c>
    </row>
    <row r="502" customFormat="false" ht="18" hidden="false" customHeight="true" outlineLevel="0" collapsed="false">
      <c r="A502" s="47" t="n">
        <v>501</v>
      </c>
      <c r="B502" s="39" t="s">
        <v>1635</v>
      </c>
      <c r="C502" s="39" t="s">
        <v>1636</v>
      </c>
      <c r="D502" s="39" t="s">
        <v>101</v>
      </c>
      <c r="E502" s="48" t="s">
        <v>1638</v>
      </c>
      <c r="F502" s="49" t="s">
        <v>927</v>
      </c>
      <c r="G502" s="39" t="s">
        <v>2843</v>
      </c>
    </row>
    <row r="503" customFormat="false" ht="18" hidden="false" customHeight="true" outlineLevel="0" collapsed="false">
      <c r="A503" s="47" t="n">
        <v>502</v>
      </c>
      <c r="B503" s="39" t="s">
        <v>1635</v>
      </c>
      <c r="C503" s="39" t="s">
        <v>1636</v>
      </c>
      <c r="D503" s="39" t="s">
        <v>2845</v>
      </c>
      <c r="E503" s="48" t="s">
        <v>1639</v>
      </c>
      <c r="F503" s="49" t="s">
        <v>3082</v>
      </c>
      <c r="G503" s="39" t="s">
        <v>2847</v>
      </c>
    </row>
    <row r="504" customFormat="false" ht="18" hidden="false" customHeight="true" outlineLevel="0" collapsed="false">
      <c r="A504" s="47" t="n">
        <v>503</v>
      </c>
      <c r="B504" s="39" t="s">
        <v>1635</v>
      </c>
      <c r="C504" s="39" t="s">
        <v>1636</v>
      </c>
      <c r="D504" s="39" t="s">
        <v>2848</v>
      </c>
      <c r="E504" s="48" t="s">
        <v>1640</v>
      </c>
      <c r="F504" s="49" t="s">
        <v>3083</v>
      </c>
      <c r="G504" s="39" t="s">
        <v>2847</v>
      </c>
    </row>
    <row r="505" customFormat="false" ht="18" hidden="false" customHeight="true" outlineLevel="0" collapsed="false">
      <c r="A505" s="47" t="n">
        <v>504</v>
      </c>
      <c r="B505" s="39" t="s">
        <v>1635</v>
      </c>
      <c r="C505" s="39" t="s">
        <v>1636</v>
      </c>
      <c r="D505" s="39" t="s">
        <v>2850</v>
      </c>
      <c r="E505" s="48" t="s">
        <v>1641</v>
      </c>
      <c r="F505" s="49" t="s">
        <v>3084</v>
      </c>
      <c r="G505" s="39" t="s">
        <v>2852</v>
      </c>
    </row>
    <row r="506" customFormat="false" ht="18" hidden="false" customHeight="true" outlineLevel="0" collapsed="false">
      <c r="A506" s="47" t="n">
        <v>505</v>
      </c>
      <c r="B506" s="39" t="s">
        <v>1635</v>
      </c>
      <c r="C506" s="39" t="s">
        <v>1636</v>
      </c>
      <c r="D506" s="39" t="s">
        <v>109</v>
      </c>
      <c r="E506" s="48" t="s">
        <v>1110</v>
      </c>
      <c r="F506" s="49" t="s">
        <v>151</v>
      </c>
      <c r="G506" s="39" t="s">
        <v>2853</v>
      </c>
    </row>
    <row r="507" customFormat="false" ht="18" hidden="false" customHeight="true" outlineLevel="0" collapsed="false">
      <c r="A507" s="47" t="n">
        <v>506</v>
      </c>
      <c r="B507" s="39" t="s">
        <v>1642</v>
      </c>
      <c r="C507" s="39" t="s">
        <v>1643</v>
      </c>
      <c r="D507" s="39" t="s">
        <v>101</v>
      </c>
      <c r="E507" s="48" t="s">
        <v>1645</v>
      </c>
      <c r="F507" s="49" t="s">
        <v>498</v>
      </c>
      <c r="G507" s="39" t="s">
        <v>2843</v>
      </c>
    </row>
    <row r="508" customFormat="false" ht="18" hidden="false" customHeight="true" outlineLevel="0" collapsed="false">
      <c r="A508" s="47" t="n">
        <v>507</v>
      </c>
      <c r="B508" s="39" t="s">
        <v>1642</v>
      </c>
      <c r="C508" s="39" t="s">
        <v>1643</v>
      </c>
      <c r="D508" s="39" t="s">
        <v>102</v>
      </c>
      <c r="E508" s="48" t="s">
        <v>1371</v>
      </c>
      <c r="F508" s="49" t="s">
        <v>150</v>
      </c>
      <c r="G508" s="39" t="s">
        <v>2844</v>
      </c>
    </row>
    <row r="509" customFormat="false" ht="18" hidden="false" customHeight="true" outlineLevel="0" collapsed="false">
      <c r="A509" s="47" t="n">
        <v>508</v>
      </c>
      <c r="B509" s="39" t="s">
        <v>1642</v>
      </c>
      <c r="C509" s="39" t="s">
        <v>1643</v>
      </c>
      <c r="D509" s="39" t="s">
        <v>77</v>
      </c>
      <c r="E509" s="48" t="s">
        <v>1236</v>
      </c>
      <c r="F509" s="49" t="s">
        <v>80</v>
      </c>
      <c r="G509" s="39" t="s">
        <v>2863</v>
      </c>
    </row>
    <row r="510" customFormat="false" ht="18" hidden="false" customHeight="true" outlineLevel="0" collapsed="false">
      <c r="A510" s="47" t="n">
        <v>509</v>
      </c>
      <c r="B510" s="39" t="s">
        <v>1642</v>
      </c>
      <c r="C510" s="39" t="s">
        <v>1643</v>
      </c>
      <c r="D510" s="39" t="s">
        <v>2845</v>
      </c>
      <c r="E510" s="48" t="s">
        <v>1646</v>
      </c>
      <c r="F510" s="49" t="s">
        <v>3085</v>
      </c>
      <c r="G510" s="39" t="s">
        <v>2847</v>
      </c>
    </row>
    <row r="511" customFormat="false" ht="18" hidden="false" customHeight="true" outlineLevel="0" collapsed="false">
      <c r="A511" s="47" t="n">
        <v>510</v>
      </c>
      <c r="B511" s="39" t="s">
        <v>1642</v>
      </c>
      <c r="C511" s="39" t="s">
        <v>1643</v>
      </c>
      <c r="D511" s="39" t="s">
        <v>2848</v>
      </c>
      <c r="E511" s="48" t="s">
        <v>1647</v>
      </c>
      <c r="F511" s="49" t="s">
        <v>3086</v>
      </c>
      <c r="G511" s="39" t="s">
        <v>2847</v>
      </c>
    </row>
    <row r="512" customFormat="false" ht="18" hidden="false" customHeight="true" outlineLevel="0" collapsed="false">
      <c r="A512" s="47" t="n">
        <v>511</v>
      </c>
      <c r="B512" s="39" t="s">
        <v>1642</v>
      </c>
      <c r="C512" s="39" t="s">
        <v>1643</v>
      </c>
      <c r="D512" s="39" t="s">
        <v>2850</v>
      </c>
      <c r="E512" s="48" t="s">
        <v>1648</v>
      </c>
      <c r="F512" s="49" t="s">
        <v>3087</v>
      </c>
      <c r="G512" s="39" t="s">
        <v>2852</v>
      </c>
    </row>
    <row r="513" customFormat="false" ht="18" hidden="false" customHeight="true" outlineLevel="0" collapsed="false">
      <c r="A513" s="47" t="n">
        <v>512</v>
      </c>
      <c r="B513" s="39" t="s">
        <v>1642</v>
      </c>
      <c r="C513" s="39" t="s">
        <v>1643</v>
      </c>
      <c r="D513" s="39" t="s">
        <v>109</v>
      </c>
      <c r="E513" s="48" t="s">
        <v>1110</v>
      </c>
      <c r="F513" s="49" t="s">
        <v>151</v>
      </c>
      <c r="G513" s="39" t="s">
        <v>2853</v>
      </c>
    </row>
    <row r="514" customFormat="false" ht="18" hidden="false" customHeight="true" outlineLevel="0" collapsed="false">
      <c r="A514" s="47" t="n">
        <v>513</v>
      </c>
      <c r="B514" s="39" t="s">
        <v>1649</v>
      </c>
      <c r="C514" s="39" t="s">
        <v>1650</v>
      </c>
      <c r="D514" s="39" t="s">
        <v>2845</v>
      </c>
      <c r="E514" s="48" t="s">
        <v>1652</v>
      </c>
      <c r="F514" s="49" t="s">
        <v>3088</v>
      </c>
      <c r="G514" s="39" t="s">
        <v>2847</v>
      </c>
    </row>
    <row r="515" customFormat="false" ht="18" hidden="false" customHeight="true" outlineLevel="0" collapsed="false">
      <c r="A515" s="47" t="n">
        <v>514</v>
      </c>
      <c r="B515" s="39" t="s">
        <v>1649</v>
      </c>
      <c r="C515" s="39" t="s">
        <v>1650</v>
      </c>
      <c r="D515" s="39" t="s">
        <v>2848</v>
      </c>
      <c r="E515" s="48" t="s">
        <v>1653</v>
      </c>
      <c r="F515" s="49" t="s">
        <v>2306</v>
      </c>
      <c r="G515" s="39" t="s">
        <v>2847</v>
      </c>
    </row>
    <row r="516" customFormat="false" ht="18" hidden="false" customHeight="true" outlineLevel="0" collapsed="false">
      <c r="A516" s="47" t="n">
        <v>515</v>
      </c>
      <c r="B516" s="39" t="s">
        <v>1649</v>
      </c>
      <c r="C516" s="39" t="s">
        <v>1650</v>
      </c>
      <c r="D516" s="39" t="s">
        <v>2850</v>
      </c>
      <c r="E516" s="48" t="s">
        <v>1654</v>
      </c>
      <c r="F516" s="49" t="s">
        <v>3089</v>
      </c>
      <c r="G516" s="39" t="s">
        <v>2852</v>
      </c>
    </row>
    <row r="517" customFormat="false" ht="18" hidden="false" customHeight="true" outlineLevel="0" collapsed="false">
      <c r="A517" s="47" t="n">
        <v>516</v>
      </c>
      <c r="B517" s="39" t="s">
        <v>1649</v>
      </c>
      <c r="C517" s="39" t="s">
        <v>1650</v>
      </c>
      <c r="D517" s="39" t="s">
        <v>109</v>
      </c>
      <c r="E517" s="48" t="s">
        <v>1110</v>
      </c>
      <c r="F517" s="49" t="s">
        <v>151</v>
      </c>
      <c r="G517" s="39" t="s">
        <v>2853</v>
      </c>
    </row>
    <row r="518" customFormat="false" ht="18" hidden="false" customHeight="true" outlineLevel="0" collapsed="false">
      <c r="A518" s="47" t="n">
        <v>517</v>
      </c>
      <c r="B518" s="39" t="s">
        <v>679</v>
      </c>
      <c r="C518" s="39" t="s">
        <v>1655</v>
      </c>
      <c r="D518" s="39" t="s">
        <v>2840</v>
      </c>
      <c r="E518" s="48" t="s">
        <v>1656</v>
      </c>
      <c r="F518" s="49" t="s">
        <v>3090</v>
      </c>
      <c r="G518" s="39" t="s">
        <v>2842</v>
      </c>
    </row>
    <row r="519" customFormat="false" ht="18" hidden="false" customHeight="true" outlineLevel="0" collapsed="false">
      <c r="A519" s="47" t="n">
        <v>518</v>
      </c>
      <c r="B519" s="39" t="s">
        <v>679</v>
      </c>
      <c r="C519" s="39" t="s">
        <v>1655</v>
      </c>
      <c r="D519" s="39" t="s">
        <v>101</v>
      </c>
      <c r="E519" s="48" t="s">
        <v>1657</v>
      </c>
      <c r="F519" s="49" t="s">
        <v>678</v>
      </c>
      <c r="G519" s="39" t="s">
        <v>2843</v>
      </c>
    </row>
    <row r="520" customFormat="false" ht="18" hidden="false" customHeight="true" outlineLevel="0" collapsed="false">
      <c r="A520" s="47" t="n">
        <v>519</v>
      </c>
      <c r="B520" s="39" t="s">
        <v>679</v>
      </c>
      <c r="C520" s="39" t="s">
        <v>1655</v>
      </c>
      <c r="D520" s="39" t="s">
        <v>102</v>
      </c>
      <c r="E520" s="48" t="s">
        <v>1371</v>
      </c>
      <c r="F520" s="49" t="s">
        <v>150</v>
      </c>
      <c r="G520" s="39" t="s">
        <v>2844</v>
      </c>
    </row>
    <row r="521" customFormat="false" ht="18" hidden="false" customHeight="true" outlineLevel="0" collapsed="false">
      <c r="A521" s="47" t="n">
        <v>520</v>
      </c>
      <c r="B521" s="39" t="s">
        <v>679</v>
      </c>
      <c r="C521" s="39" t="s">
        <v>1655</v>
      </c>
      <c r="D521" s="39" t="s">
        <v>77</v>
      </c>
      <c r="E521" s="48" t="s">
        <v>1330</v>
      </c>
      <c r="F521" s="49" t="s">
        <v>80</v>
      </c>
      <c r="G521" s="39" t="s">
        <v>2863</v>
      </c>
    </row>
    <row r="522" customFormat="false" ht="18" hidden="false" customHeight="true" outlineLevel="0" collapsed="false">
      <c r="A522" s="47" t="n">
        <v>521</v>
      </c>
      <c r="B522" s="39" t="s">
        <v>679</v>
      </c>
      <c r="C522" s="39" t="s">
        <v>1655</v>
      </c>
      <c r="D522" s="39" t="s">
        <v>2845</v>
      </c>
      <c r="E522" s="48" t="s">
        <v>1658</v>
      </c>
      <c r="F522" s="49" t="s">
        <v>3091</v>
      </c>
      <c r="G522" s="39" t="s">
        <v>2847</v>
      </c>
    </row>
    <row r="523" customFormat="false" ht="18" hidden="false" customHeight="true" outlineLevel="0" collapsed="false">
      <c r="A523" s="47" t="n">
        <v>522</v>
      </c>
      <c r="B523" s="39" t="s">
        <v>679</v>
      </c>
      <c r="C523" s="39" t="s">
        <v>1655</v>
      </c>
      <c r="D523" s="39" t="s">
        <v>2848</v>
      </c>
      <c r="E523" s="48" t="s">
        <v>1659</v>
      </c>
      <c r="F523" s="49" t="s">
        <v>3092</v>
      </c>
      <c r="G523" s="39" t="s">
        <v>2847</v>
      </c>
    </row>
    <row r="524" customFormat="false" ht="18" hidden="false" customHeight="true" outlineLevel="0" collapsed="false">
      <c r="A524" s="47" t="n">
        <v>523</v>
      </c>
      <c r="B524" s="39" t="s">
        <v>679</v>
      </c>
      <c r="C524" s="39" t="s">
        <v>1655</v>
      </c>
      <c r="D524" s="39" t="s">
        <v>2850</v>
      </c>
      <c r="E524" s="48" t="s">
        <v>1660</v>
      </c>
      <c r="F524" s="49" t="s">
        <v>3093</v>
      </c>
      <c r="G524" s="39" t="s">
        <v>2852</v>
      </c>
    </row>
    <row r="525" customFormat="false" ht="18" hidden="false" customHeight="true" outlineLevel="0" collapsed="false">
      <c r="A525" s="47" t="n">
        <v>524</v>
      </c>
      <c r="B525" s="39" t="s">
        <v>679</v>
      </c>
      <c r="C525" s="39" t="s">
        <v>1655</v>
      </c>
      <c r="D525" s="39" t="s">
        <v>109</v>
      </c>
      <c r="E525" s="48" t="s">
        <v>1110</v>
      </c>
      <c r="F525" s="49" t="s">
        <v>151</v>
      </c>
      <c r="G525" s="39" t="s">
        <v>2853</v>
      </c>
    </row>
    <row r="526" customFormat="false" ht="18" hidden="false" customHeight="true" outlineLevel="0" collapsed="false">
      <c r="A526" s="47" t="n">
        <v>525</v>
      </c>
      <c r="B526" s="39" t="s">
        <v>1661</v>
      </c>
      <c r="C526" s="39" t="s">
        <v>1662</v>
      </c>
      <c r="D526" s="39" t="s">
        <v>101</v>
      </c>
      <c r="E526" s="48" t="s">
        <v>1664</v>
      </c>
      <c r="F526" s="49" t="s">
        <v>758</v>
      </c>
      <c r="G526" s="39" t="s">
        <v>2843</v>
      </c>
    </row>
    <row r="527" customFormat="false" ht="18" hidden="false" customHeight="true" outlineLevel="0" collapsed="false">
      <c r="A527" s="47" t="n">
        <v>526</v>
      </c>
      <c r="B527" s="39" t="s">
        <v>1661</v>
      </c>
      <c r="C527" s="39" t="s">
        <v>1662</v>
      </c>
      <c r="D527" s="39" t="s">
        <v>102</v>
      </c>
      <c r="E527" s="48" t="s">
        <v>1337</v>
      </c>
      <c r="F527" s="49" t="s">
        <v>128</v>
      </c>
      <c r="G527" s="39" t="s">
        <v>2844</v>
      </c>
    </row>
    <row r="528" customFormat="false" ht="18" hidden="false" customHeight="true" outlineLevel="0" collapsed="false">
      <c r="A528" s="47" t="n">
        <v>527</v>
      </c>
      <c r="B528" s="39" t="s">
        <v>1661</v>
      </c>
      <c r="C528" s="39" t="s">
        <v>1662</v>
      </c>
      <c r="D528" s="39" t="s">
        <v>2845</v>
      </c>
      <c r="E528" s="48" t="s">
        <v>1665</v>
      </c>
      <c r="F528" s="49" t="s">
        <v>3094</v>
      </c>
      <c r="G528" s="39" t="s">
        <v>2847</v>
      </c>
    </row>
    <row r="529" customFormat="false" ht="18" hidden="false" customHeight="true" outlineLevel="0" collapsed="false">
      <c r="A529" s="47" t="n">
        <v>528</v>
      </c>
      <c r="B529" s="39" t="s">
        <v>1661</v>
      </c>
      <c r="C529" s="39" t="s">
        <v>1662</v>
      </c>
      <c r="D529" s="39" t="s">
        <v>2848</v>
      </c>
      <c r="E529" s="48" t="s">
        <v>1666</v>
      </c>
      <c r="F529" s="49" t="s">
        <v>3095</v>
      </c>
      <c r="G529" s="39" t="s">
        <v>2847</v>
      </c>
    </row>
    <row r="530" customFormat="false" ht="18" hidden="false" customHeight="true" outlineLevel="0" collapsed="false">
      <c r="A530" s="47" t="n">
        <v>529</v>
      </c>
      <c r="B530" s="39" t="s">
        <v>1661</v>
      </c>
      <c r="C530" s="39" t="s">
        <v>1662</v>
      </c>
      <c r="D530" s="39" t="s">
        <v>2850</v>
      </c>
      <c r="E530" s="48" t="s">
        <v>1667</v>
      </c>
      <c r="F530" s="49" t="s">
        <v>2780</v>
      </c>
      <c r="G530" s="39" t="s">
        <v>2852</v>
      </c>
    </row>
    <row r="531" customFormat="false" ht="18" hidden="false" customHeight="true" outlineLevel="0" collapsed="false">
      <c r="A531" s="47" t="n">
        <v>530</v>
      </c>
      <c r="B531" s="39" t="s">
        <v>1661</v>
      </c>
      <c r="C531" s="39" t="s">
        <v>1662</v>
      </c>
      <c r="D531" s="39" t="s">
        <v>109</v>
      </c>
      <c r="E531" s="48" t="s">
        <v>1110</v>
      </c>
      <c r="F531" s="49" t="s">
        <v>151</v>
      </c>
      <c r="G531" s="39" t="s">
        <v>2853</v>
      </c>
    </row>
    <row r="532" customFormat="false" ht="18" hidden="false" customHeight="true" outlineLevel="0" collapsed="false">
      <c r="A532" s="47" t="n">
        <v>531</v>
      </c>
      <c r="B532" s="39" t="s">
        <v>1668</v>
      </c>
      <c r="C532" s="39" t="s">
        <v>1669</v>
      </c>
      <c r="D532" s="39" t="s">
        <v>101</v>
      </c>
      <c r="E532" s="48" t="s">
        <v>1671</v>
      </c>
      <c r="F532" s="49" t="s">
        <v>245</v>
      </c>
      <c r="G532" s="39" t="s">
        <v>2843</v>
      </c>
    </row>
    <row r="533" customFormat="false" ht="18" hidden="false" customHeight="true" outlineLevel="0" collapsed="false">
      <c r="A533" s="47" t="n">
        <v>532</v>
      </c>
      <c r="B533" s="39" t="s">
        <v>1668</v>
      </c>
      <c r="C533" s="39" t="s">
        <v>1669</v>
      </c>
      <c r="D533" s="39" t="s">
        <v>102</v>
      </c>
      <c r="E533" s="48" t="s">
        <v>1201</v>
      </c>
      <c r="F533" s="49" t="s">
        <v>128</v>
      </c>
      <c r="G533" s="39" t="s">
        <v>2844</v>
      </c>
    </row>
    <row r="534" customFormat="false" ht="18" hidden="false" customHeight="true" outlineLevel="0" collapsed="false">
      <c r="A534" s="47" t="n">
        <v>533</v>
      </c>
      <c r="B534" s="39" t="s">
        <v>1668</v>
      </c>
      <c r="C534" s="39" t="s">
        <v>1669</v>
      </c>
      <c r="D534" s="39" t="s">
        <v>77</v>
      </c>
      <c r="E534" s="48" t="s">
        <v>1137</v>
      </c>
      <c r="F534" s="49" t="s">
        <v>79</v>
      </c>
      <c r="G534" s="39" t="s">
        <v>2863</v>
      </c>
    </row>
    <row r="535" customFormat="false" ht="18" hidden="false" customHeight="true" outlineLevel="0" collapsed="false">
      <c r="A535" s="47" t="n">
        <v>534</v>
      </c>
      <c r="B535" s="39" t="s">
        <v>1668</v>
      </c>
      <c r="C535" s="39" t="s">
        <v>1669</v>
      </c>
      <c r="D535" s="39" t="s">
        <v>2845</v>
      </c>
      <c r="E535" s="48" t="s">
        <v>1672</v>
      </c>
      <c r="F535" s="49" t="s">
        <v>3096</v>
      </c>
      <c r="G535" s="39" t="s">
        <v>2847</v>
      </c>
    </row>
    <row r="536" customFormat="false" ht="18" hidden="false" customHeight="true" outlineLevel="0" collapsed="false">
      <c r="A536" s="47" t="n">
        <v>535</v>
      </c>
      <c r="B536" s="39" t="s">
        <v>1668</v>
      </c>
      <c r="C536" s="39" t="s">
        <v>1669</v>
      </c>
      <c r="D536" s="39" t="s">
        <v>2848</v>
      </c>
      <c r="E536" s="48" t="s">
        <v>1332</v>
      </c>
      <c r="F536" s="49" t="s">
        <v>2947</v>
      </c>
      <c r="G536" s="39" t="s">
        <v>2847</v>
      </c>
    </row>
    <row r="537" customFormat="false" ht="18" hidden="false" customHeight="true" outlineLevel="0" collapsed="false">
      <c r="A537" s="47" t="n">
        <v>536</v>
      </c>
      <c r="B537" s="39" t="s">
        <v>1668</v>
      </c>
      <c r="C537" s="39" t="s">
        <v>1669</v>
      </c>
      <c r="D537" s="39" t="s">
        <v>2850</v>
      </c>
      <c r="E537" s="48" t="s">
        <v>1673</v>
      </c>
      <c r="F537" s="49" t="s">
        <v>3097</v>
      </c>
      <c r="G537" s="39" t="s">
        <v>2852</v>
      </c>
    </row>
    <row r="538" customFormat="false" ht="18" hidden="false" customHeight="true" outlineLevel="0" collapsed="false">
      <c r="A538" s="47" t="n">
        <v>537</v>
      </c>
      <c r="B538" s="39" t="s">
        <v>1668</v>
      </c>
      <c r="C538" s="39" t="s">
        <v>1669</v>
      </c>
      <c r="D538" s="39" t="s">
        <v>109</v>
      </c>
      <c r="E538" s="48" t="s">
        <v>1132</v>
      </c>
      <c r="F538" s="49" t="s">
        <v>130</v>
      </c>
      <c r="G538" s="39" t="s">
        <v>2853</v>
      </c>
    </row>
    <row r="539" customFormat="false" ht="18" hidden="false" customHeight="true" outlineLevel="0" collapsed="false">
      <c r="A539" s="47" t="n">
        <v>538</v>
      </c>
      <c r="B539" s="39" t="s">
        <v>863</v>
      </c>
      <c r="C539" s="39" t="s">
        <v>1674</v>
      </c>
      <c r="D539" s="39" t="s">
        <v>101</v>
      </c>
      <c r="E539" s="48" t="s">
        <v>1676</v>
      </c>
      <c r="F539" s="49" t="s">
        <v>862</v>
      </c>
      <c r="G539" s="39" t="s">
        <v>2843</v>
      </c>
    </row>
    <row r="540" customFormat="false" ht="18" hidden="false" customHeight="true" outlineLevel="0" collapsed="false">
      <c r="A540" s="47" t="n">
        <v>539</v>
      </c>
      <c r="B540" s="39" t="s">
        <v>863</v>
      </c>
      <c r="C540" s="39" t="s">
        <v>1674</v>
      </c>
      <c r="D540" s="39" t="s">
        <v>102</v>
      </c>
      <c r="E540" s="48" t="s">
        <v>1564</v>
      </c>
      <c r="F540" s="49" t="s">
        <v>120</v>
      </c>
      <c r="G540" s="39" t="s">
        <v>2844</v>
      </c>
    </row>
    <row r="541" customFormat="false" ht="18" hidden="false" customHeight="true" outlineLevel="0" collapsed="false">
      <c r="A541" s="47" t="n">
        <v>540</v>
      </c>
      <c r="B541" s="39" t="s">
        <v>863</v>
      </c>
      <c r="C541" s="39" t="s">
        <v>1674</v>
      </c>
      <c r="D541" s="39" t="s">
        <v>77</v>
      </c>
      <c r="E541" s="48" t="s">
        <v>1330</v>
      </c>
      <c r="F541" s="49" t="s">
        <v>80</v>
      </c>
      <c r="G541" s="39" t="s">
        <v>2863</v>
      </c>
    </row>
    <row r="542" customFormat="false" ht="18" hidden="false" customHeight="true" outlineLevel="0" collapsed="false">
      <c r="A542" s="47" t="n">
        <v>541</v>
      </c>
      <c r="B542" s="39" t="s">
        <v>863</v>
      </c>
      <c r="C542" s="39" t="s">
        <v>1674</v>
      </c>
      <c r="D542" s="39" t="s">
        <v>2845</v>
      </c>
      <c r="E542" s="48" t="s">
        <v>1677</v>
      </c>
      <c r="F542" s="49" t="s">
        <v>2139</v>
      </c>
      <c r="G542" s="39" t="s">
        <v>2847</v>
      </c>
    </row>
    <row r="543" customFormat="false" ht="18" hidden="false" customHeight="true" outlineLevel="0" collapsed="false">
      <c r="A543" s="47" t="n">
        <v>542</v>
      </c>
      <c r="B543" s="39" t="s">
        <v>863</v>
      </c>
      <c r="C543" s="39" t="s">
        <v>1674</v>
      </c>
      <c r="D543" s="39" t="s">
        <v>2848</v>
      </c>
      <c r="E543" s="48" t="s">
        <v>1203</v>
      </c>
      <c r="F543" s="49" t="s">
        <v>2890</v>
      </c>
      <c r="G543" s="39" t="s">
        <v>2847</v>
      </c>
    </row>
    <row r="544" customFormat="false" ht="18" hidden="false" customHeight="true" outlineLevel="0" collapsed="false">
      <c r="A544" s="47" t="n">
        <v>543</v>
      </c>
      <c r="B544" s="39" t="s">
        <v>863</v>
      </c>
      <c r="C544" s="39" t="s">
        <v>1674</v>
      </c>
      <c r="D544" s="39" t="s">
        <v>2850</v>
      </c>
      <c r="E544" s="48" t="s">
        <v>1679</v>
      </c>
      <c r="F544" s="49" t="s">
        <v>3098</v>
      </c>
      <c r="G544" s="39" t="s">
        <v>2852</v>
      </c>
    </row>
    <row r="545" customFormat="false" ht="18" hidden="false" customHeight="true" outlineLevel="0" collapsed="false">
      <c r="A545" s="47" t="n">
        <v>544</v>
      </c>
      <c r="B545" s="39" t="s">
        <v>863</v>
      </c>
      <c r="C545" s="39" t="s">
        <v>1674</v>
      </c>
      <c r="D545" s="39" t="s">
        <v>109</v>
      </c>
      <c r="E545" s="48" t="s">
        <v>1110</v>
      </c>
      <c r="F545" s="49" t="s">
        <v>151</v>
      </c>
      <c r="G545" s="39" t="s">
        <v>2853</v>
      </c>
    </row>
    <row r="546" customFormat="false" ht="18" hidden="false" customHeight="true" outlineLevel="0" collapsed="false">
      <c r="A546" s="47" t="n">
        <v>545</v>
      </c>
      <c r="B546" s="39" t="s">
        <v>907</v>
      </c>
      <c r="C546" s="39" t="s">
        <v>1680</v>
      </c>
      <c r="D546" s="39" t="s">
        <v>100</v>
      </c>
      <c r="E546" s="48" t="s">
        <v>1682</v>
      </c>
      <c r="F546" s="49" t="s">
        <v>905</v>
      </c>
      <c r="G546" s="39" t="s">
        <v>2870</v>
      </c>
    </row>
    <row r="547" customFormat="false" ht="18" hidden="false" customHeight="true" outlineLevel="0" collapsed="false">
      <c r="A547" s="47" t="n">
        <v>546</v>
      </c>
      <c r="B547" s="39" t="s">
        <v>907</v>
      </c>
      <c r="C547" s="39" t="s">
        <v>1680</v>
      </c>
      <c r="D547" s="39" t="s">
        <v>101</v>
      </c>
      <c r="E547" s="48" t="s">
        <v>1683</v>
      </c>
      <c r="F547" s="49" t="s">
        <v>906</v>
      </c>
      <c r="G547" s="39" t="s">
        <v>2843</v>
      </c>
    </row>
    <row r="548" customFormat="false" ht="18" hidden="false" customHeight="true" outlineLevel="0" collapsed="false">
      <c r="A548" s="47" t="n">
        <v>547</v>
      </c>
      <c r="B548" s="39" t="s">
        <v>907</v>
      </c>
      <c r="C548" s="39" t="s">
        <v>1680</v>
      </c>
      <c r="D548" s="39" t="s">
        <v>2845</v>
      </c>
      <c r="E548" s="48" t="s">
        <v>1684</v>
      </c>
      <c r="F548" s="49" t="s">
        <v>1932</v>
      </c>
      <c r="G548" s="39" t="s">
        <v>2847</v>
      </c>
    </row>
    <row r="549" customFormat="false" ht="18" hidden="false" customHeight="true" outlineLevel="0" collapsed="false">
      <c r="A549" s="47" t="n">
        <v>548</v>
      </c>
      <c r="B549" s="39" t="s">
        <v>907</v>
      </c>
      <c r="C549" s="39" t="s">
        <v>1680</v>
      </c>
      <c r="D549" s="39" t="s">
        <v>2848</v>
      </c>
      <c r="E549" s="48" t="s">
        <v>1685</v>
      </c>
      <c r="F549" s="49" t="s">
        <v>3099</v>
      </c>
      <c r="G549" s="39" t="s">
        <v>2847</v>
      </c>
    </row>
    <row r="550" customFormat="false" ht="18" hidden="false" customHeight="true" outlineLevel="0" collapsed="false">
      <c r="A550" s="47" t="n">
        <v>549</v>
      </c>
      <c r="B550" s="39" t="s">
        <v>907</v>
      </c>
      <c r="C550" s="39" t="s">
        <v>1680</v>
      </c>
      <c r="D550" s="39" t="s">
        <v>2850</v>
      </c>
      <c r="E550" s="48" t="s">
        <v>1686</v>
      </c>
      <c r="F550" s="49" t="s">
        <v>3100</v>
      </c>
      <c r="G550" s="39" t="s">
        <v>2852</v>
      </c>
    </row>
    <row r="551" customFormat="false" ht="18" hidden="false" customHeight="true" outlineLevel="0" collapsed="false">
      <c r="A551" s="47" t="n">
        <v>550</v>
      </c>
      <c r="B551" s="39" t="s">
        <v>907</v>
      </c>
      <c r="C551" s="39" t="s">
        <v>1680</v>
      </c>
      <c r="D551" s="39" t="s">
        <v>109</v>
      </c>
      <c r="E551" s="48" t="s">
        <v>1110</v>
      </c>
      <c r="F551" s="49" t="s">
        <v>151</v>
      </c>
      <c r="G551" s="39" t="s">
        <v>2853</v>
      </c>
    </row>
    <row r="552" customFormat="false" ht="18" hidden="false" customHeight="true" outlineLevel="0" collapsed="false">
      <c r="A552" s="47" t="n">
        <v>551</v>
      </c>
      <c r="B552" s="39" t="s">
        <v>1687</v>
      </c>
      <c r="C552" s="39" t="s">
        <v>1688</v>
      </c>
      <c r="D552" s="39" t="s">
        <v>102</v>
      </c>
      <c r="E552" s="48" t="s">
        <v>1482</v>
      </c>
      <c r="F552" s="49" t="s">
        <v>163</v>
      </c>
      <c r="G552" s="39" t="s">
        <v>2844</v>
      </c>
    </row>
    <row r="553" customFormat="false" ht="18" hidden="false" customHeight="true" outlineLevel="0" collapsed="false">
      <c r="A553" s="47" t="n">
        <v>552</v>
      </c>
      <c r="B553" s="39" t="s">
        <v>1687</v>
      </c>
      <c r="C553" s="39" t="s">
        <v>1688</v>
      </c>
      <c r="D553" s="39" t="s">
        <v>77</v>
      </c>
      <c r="E553" s="48" t="s">
        <v>1243</v>
      </c>
      <c r="F553" s="49" t="s">
        <v>79</v>
      </c>
      <c r="G553" s="39" t="s">
        <v>2863</v>
      </c>
    </row>
    <row r="554" customFormat="false" ht="18" hidden="false" customHeight="true" outlineLevel="0" collapsed="false">
      <c r="A554" s="47" t="n">
        <v>553</v>
      </c>
      <c r="B554" s="39" t="s">
        <v>1687</v>
      </c>
      <c r="C554" s="39" t="s">
        <v>1688</v>
      </c>
      <c r="D554" s="39" t="s">
        <v>2845</v>
      </c>
      <c r="E554" s="48" t="s">
        <v>1690</v>
      </c>
      <c r="F554" s="49" t="s">
        <v>3101</v>
      </c>
      <c r="G554" s="39" t="s">
        <v>2847</v>
      </c>
    </row>
    <row r="555" customFormat="false" ht="18" hidden="false" customHeight="true" outlineLevel="0" collapsed="false">
      <c r="A555" s="47" t="n">
        <v>554</v>
      </c>
      <c r="B555" s="39" t="s">
        <v>1687</v>
      </c>
      <c r="C555" s="39" t="s">
        <v>1688</v>
      </c>
      <c r="D555" s="39" t="s">
        <v>2848</v>
      </c>
      <c r="E555" s="48" t="s">
        <v>1677</v>
      </c>
      <c r="F555" s="49" t="s">
        <v>2139</v>
      </c>
      <c r="G555" s="39" t="s">
        <v>2847</v>
      </c>
    </row>
    <row r="556" customFormat="false" ht="18" hidden="false" customHeight="true" outlineLevel="0" collapsed="false">
      <c r="A556" s="47" t="n">
        <v>555</v>
      </c>
      <c r="B556" s="39" t="s">
        <v>1687</v>
      </c>
      <c r="C556" s="39" t="s">
        <v>1688</v>
      </c>
      <c r="D556" s="39" t="s">
        <v>2850</v>
      </c>
      <c r="E556" s="48" t="s">
        <v>1260</v>
      </c>
      <c r="F556" s="49" t="s">
        <v>2608</v>
      </c>
      <c r="G556" s="39" t="s">
        <v>2852</v>
      </c>
    </row>
    <row r="557" customFormat="false" ht="18" hidden="false" customHeight="true" outlineLevel="0" collapsed="false">
      <c r="A557" s="47" t="n">
        <v>556</v>
      </c>
      <c r="B557" s="39" t="s">
        <v>1687</v>
      </c>
      <c r="C557" s="39" t="s">
        <v>1688</v>
      </c>
      <c r="D557" s="39" t="s">
        <v>109</v>
      </c>
      <c r="E557" s="48" t="s">
        <v>1110</v>
      </c>
      <c r="F557" s="49" t="s">
        <v>151</v>
      </c>
      <c r="G557" s="39" t="s">
        <v>2853</v>
      </c>
    </row>
    <row r="558" customFormat="false" ht="18" hidden="false" customHeight="true" outlineLevel="0" collapsed="false">
      <c r="A558" s="47" t="n">
        <v>557</v>
      </c>
      <c r="B558" s="39" t="s">
        <v>671</v>
      </c>
      <c r="C558" s="39" t="s">
        <v>1691</v>
      </c>
      <c r="D558" s="39" t="s">
        <v>100</v>
      </c>
      <c r="E558" s="48" t="s">
        <v>1693</v>
      </c>
      <c r="F558" s="49" t="s">
        <v>669</v>
      </c>
      <c r="G558" s="39" t="s">
        <v>2870</v>
      </c>
    </row>
    <row r="559" customFormat="false" ht="18" hidden="false" customHeight="true" outlineLevel="0" collapsed="false">
      <c r="A559" s="47" t="n">
        <v>558</v>
      </c>
      <c r="B559" s="39" t="s">
        <v>671</v>
      </c>
      <c r="C559" s="39" t="s">
        <v>1691</v>
      </c>
      <c r="D559" s="39" t="s">
        <v>101</v>
      </c>
      <c r="E559" s="48" t="s">
        <v>1694</v>
      </c>
      <c r="F559" s="49" t="s">
        <v>670</v>
      </c>
      <c r="G559" s="39" t="s">
        <v>2843</v>
      </c>
    </row>
    <row r="560" customFormat="false" ht="18" hidden="false" customHeight="true" outlineLevel="0" collapsed="false">
      <c r="A560" s="47" t="n">
        <v>559</v>
      </c>
      <c r="B560" s="39" t="s">
        <v>671</v>
      </c>
      <c r="C560" s="39" t="s">
        <v>1691</v>
      </c>
      <c r="D560" s="39" t="s">
        <v>102</v>
      </c>
      <c r="E560" s="48" t="s">
        <v>1695</v>
      </c>
      <c r="F560" s="49" t="s">
        <v>170</v>
      </c>
      <c r="G560" s="39" t="s">
        <v>2844</v>
      </c>
    </row>
    <row r="561" customFormat="false" ht="18" hidden="false" customHeight="true" outlineLevel="0" collapsed="false">
      <c r="A561" s="47" t="n">
        <v>560</v>
      </c>
      <c r="B561" s="39" t="s">
        <v>671</v>
      </c>
      <c r="C561" s="39" t="s">
        <v>1691</v>
      </c>
      <c r="D561" s="39" t="s">
        <v>77</v>
      </c>
      <c r="E561" s="48" t="s">
        <v>1585</v>
      </c>
      <c r="F561" s="49" t="s">
        <v>82</v>
      </c>
      <c r="G561" s="39" t="s">
        <v>2863</v>
      </c>
    </row>
    <row r="562" customFormat="false" ht="18" hidden="false" customHeight="true" outlineLevel="0" collapsed="false">
      <c r="A562" s="47" t="n">
        <v>561</v>
      </c>
      <c r="B562" s="39" t="s">
        <v>671</v>
      </c>
      <c r="C562" s="39" t="s">
        <v>1691</v>
      </c>
      <c r="D562" s="39" t="s">
        <v>2845</v>
      </c>
      <c r="E562" s="48" t="s">
        <v>1696</v>
      </c>
      <c r="F562" s="49" t="s">
        <v>3102</v>
      </c>
      <c r="G562" s="39" t="s">
        <v>2847</v>
      </c>
    </row>
    <row r="563" customFormat="false" ht="18" hidden="false" customHeight="true" outlineLevel="0" collapsed="false">
      <c r="A563" s="47" t="n">
        <v>562</v>
      </c>
      <c r="B563" s="39" t="s">
        <v>671</v>
      </c>
      <c r="C563" s="39" t="s">
        <v>1691</v>
      </c>
      <c r="D563" s="39" t="s">
        <v>2848</v>
      </c>
      <c r="E563" s="48" t="s">
        <v>1696</v>
      </c>
      <c r="F563" s="49" t="s">
        <v>3102</v>
      </c>
      <c r="G563" s="39" t="s">
        <v>2847</v>
      </c>
    </row>
    <row r="564" customFormat="false" ht="18" hidden="false" customHeight="true" outlineLevel="0" collapsed="false">
      <c r="A564" s="47" t="n">
        <v>563</v>
      </c>
      <c r="B564" s="39" t="s">
        <v>671</v>
      </c>
      <c r="C564" s="39" t="s">
        <v>1691</v>
      </c>
      <c r="D564" s="39" t="s">
        <v>2850</v>
      </c>
      <c r="E564" s="48" t="s">
        <v>1697</v>
      </c>
      <c r="F564" s="49" t="s">
        <v>3103</v>
      </c>
      <c r="G564" s="39" t="s">
        <v>2852</v>
      </c>
    </row>
    <row r="565" customFormat="false" ht="18" hidden="false" customHeight="true" outlineLevel="0" collapsed="false">
      <c r="A565" s="47" t="n">
        <v>564</v>
      </c>
      <c r="B565" s="39" t="s">
        <v>671</v>
      </c>
      <c r="C565" s="39" t="s">
        <v>1691</v>
      </c>
      <c r="D565" s="39" t="s">
        <v>109</v>
      </c>
      <c r="E565" s="48" t="s">
        <v>1132</v>
      </c>
      <c r="F565" s="49" t="s">
        <v>130</v>
      </c>
      <c r="G565" s="39" t="s">
        <v>2853</v>
      </c>
    </row>
    <row r="566" customFormat="false" ht="18" hidden="false" customHeight="true" outlineLevel="0" collapsed="false">
      <c r="A566" s="47" t="n">
        <v>565</v>
      </c>
      <c r="B566" s="39" t="s">
        <v>1698</v>
      </c>
      <c r="C566" s="39" t="s">
        <v>1699</v>
      </c>
      <c r="D566" s="39" t="s">
        <v>101</v>
      </c>
      <c r="E566" s="48" t="s">
        <v>1701</v>
      </c>
      <c r="F566" s="49" t="s">
        <v>222</v>
      </c>
      <c r="G566" s="39" t="s">
        <v>2843</v>
      </c>
    </row>
    <row r="567" customFormat="false" ht="18" hidden="false" customHeight="true" outlineLevel="0" collapsed="false">
      <c r="A567" s="47" t="n">
        <v>566</v>
      </c>
      <c r="B567" s="39" t="s">
        <v>1698</v>
      </c>
      <c r="C567" s="39" t="s">
        <v>1699</v>
      </c>
      <c r="D567" s="39" t="s">
        <v>102</v>
      </c>
      <c r="E567" s="48" t="s">
        <v>1172</v>
      </c>
      <c r="F567" s="49" t="s">
        <v>128</v>
      </c>
      <c r="G567" s="39" t="s">
        <v>2844</v>
      </c>
    </row>
    <row r="568" customFormat="false" ht="18" hidden="false" customHeight="true" outlineLevel="0" collapsed="false">
      <c r="A568" s="47" t="n">
        <v>567</v>
      </c>
      <c r="B568" s="39" t="s">
        <v>1698</v>
      </c>
      <c r="C568" s="39" t="s">
        <v>1699</v>
      </c>
      <c r="D568" s="39" t="s">
        <v>2845</v>
      </c>
      <c r="E568" s="48" t="s">
        <v>1435</v>
      </c>
      <c r="F568" s="49" t="s">
        <v>2990</v>
      </c>
      <c r="G568" s="39" t="s">
        <v>2847</v>
      </c>
    </row>
    <row r="569" customFormat="false" ht="18" hidden="false" customHeight="true" outlineLevel="0" collapsed="false">
      <c r="A569" s="47" t="n">
        <v>568</v>
      </c>
      <c r="B569" s="39" t="s">
        <v>1698</v>
      </c>
      <c r="C569" s="39" t="s">
        <v>1699</v>
      </c>
      <c r="D569" s="39" t="s">
        <v>2848</v>
      </c>
      <c r="E569" s="48" t="s">
        <v>1436</v>
      </c>
      <c r="F569" s="49" t="s">
        <v>2991</v>
      </c>
      <c r="G569" s="39" t="s">
        <v>2847</v>
      </c>
    </row>
    <row r="570" customFormat="false" ht="18" hidden="false" customHeight="true" outlineLevel="0" collapsed="false">
      <c r="A570" s="47" t="n">
        <v>569</v>
      </c>
      <c r="B570" s="39" t="s">
        <v>1698</v>
      </c>
      <c r="C570" s="39" t="s">
        <v>1699</v>
      </c>
      <c r="D570" s="39" t="s">
        <v>2850</v>
      </c>
      <c r="E570" s="48" t="s">
        <v>1437</v>
      </c>
      <c r="F570" s="49" t="s">
        <v>2992</v>
      </c>
      <c r="G570" s="39" t="s">
        <v>2852</v>
      </c>
    </row>
    <row r="571" customFormat="false" ht="18" hidden="false" customHeight="true" outlineLevel="0" collapsed="false">
      <c r="A571" s="47" t="n">
        <v>570</v>
      </c>
      <c r="B571" s="39" t="s">
        <v>1698</v>
      </c>
      <c r="C571" s="39" t="s">
        <v>1699</v>
      </c>
      <c r="D571" s="39" t="s">
        <v>109</v>
      </c>
      <c r="E571" s="48" t="s">
        <v>1110</v>
      </c>
      <c r="F571" s="49" t="s">
        <v>151</v>
      </c>
      <c r="G571" s="39" t="s">
        <v>2853</v>
      </c>
    </row>
    <row r="572" customFormat="false" ht="18" hidden="false" customHeight="true" outlineLevel="0" collapsed="false">
      <c r="A572" s="47" t="n">
        <v>571</v>
      </c>
      <c r="B572" s="39" t="s">
        <v>1702</v>
      </c>
      <c r="C572" s="39" t="s">
        <v>1703</v>
      </c>
      <c r="D572" s="39" t="s">
        <v>101</v>
      </c>
      <c r="E572" s="48" t="s">
        <v>1705</v>
      </c>
      <c r="F572" s="49" t="s">
        <v>653</v>
      </c>
      <c r="G572" s="39" t="s">
        <v>2843</v>
      </c>
    </row>
    <row r="573" customFormat="false" ht="18" hidden="false" customHeight="true" outlineLevel="0" collapsed="false">
      <c r="A573" s="47" t="n">
        <v>572</v>
      </c>
      <c r="B573" s="39" t="s">
        <v>1702</v>
      </c>
      <c r="C573" s="39" t="s">
        <v>1703</v>
      </c>
      <c r="D573" s="39" t="s">
        <v>102</v>
      </c>
      <c r="E573" s="48" t="s">
        <v>1577</v>
      </c>
      <c r="F573" s="49" t="s">
        <v>217</v>
      </c>
      <c r="G573" s="39" t="s">
        <v>2844</v>
      </c>
    </row>
    <row r="574" customFormat="false" ht="18" hidden="false" customHeight="true" outlineLevel="0" collapsed="false">
      <c r="A574" s="47" t="n">
        <v>573</v>
      </c>
      <c r="B574" s="39" t="s">
        <v>1702</v>
      </c>
      <c r="C574" s="39" t="s">
        <v>1703</v>
      </c>
      <c r="D574" s="39" t="s">
        <v>77</v>
      </c>
      <c r="E574" s="48" t="s">
        <v>1243</v>
      </c>
      <c r="F574" s="49" t="s">
        <v>79</v>
      </c>
      <c r="G574" s="39" t="s">
        <v>2863</v>
      </c>
    </row>
    <row r="575" customFormat="false" ht="18" hidden="false" customHeight="true" outlineLevel="0" collapsed="false">
      <c r="A575" s="47" t="n">
        <v>574</v>
      </c>
      <c r="B575" s="39" t="s">
        <v>1702</v>
      </c>
      <c r="C575" s="39" t="s">
        <v>1703</v>
      </c>
      <c r="D575" s="39" t="s">
        <v>2845</v>
      </c>
      <c r="E575" s="48" t="s">
        <v>1706</v>
      </c>
      <c r="F575" s="49" t="s">
        <v>3104</v>
      </c>
      <c r="G575" s="39" t="s">
        <v>2847</v>
      </c>
    </row>
    <row r="576" customFormat="false" ht="18" hidden="false" customHeight="true" outlineLevel="0" collapsed="false">
      <c r="A576" s="47" t="n">
        <v>575</v>
      </c>
      <c r="B576" s="39" t="s">
        <v>1702</v>
      </c>
      <c r="C576" s="39" t="s">
        <v>1703</v>
      </c>
      <c r="D576" s="39" t="s">
        <v>2848</v>
      </c>
      <c r="E576" s="48" t="s">
        <v>1707</v>
      </c>
      <c r="F576" s="49" t="s">
        <v>3105</v>
      </c>
      <c r="G576" s="39" t="s">
        <v>2847</v>
      </c>
    </row>
    <row r="577" customFormat="false" ht="18" hidden="false" customHeight="true" outlineLevel="0" collapsed="false">
      <c r="A577" s="47" t="n">
        <v>576</v>
      </c>
      <c r="B577" s="39" t="s">
        <v>1702</v>
      </c>
      <c r="C577" s="39" t="s">
        <v>1703</v>
      </c>
      <c r="D577" s="39" t="s">
        <v>2850</v>
      </c>
      <c r="E577" s="48" t="s">
        <v>1708</v>
      </c>
      <c r="F577" s="49" t="s">
        <v>3106</v>
      </c>
      <c r="G577" s="39" t="s">
        <v>2852</v>
      </c>
    </row>
    <row r="578" customFormat="false" ht="18" hidden="false" customHeight="true" outlineLevel="0" collapsed="false">
      <c r="A578" s="47" t="n">
        <v>577</v>
      </c>
      <c r="B578" s="39" t="s">
        <v>1702</v>
      </c>
      <c r="C578" s="39" t="s">
        <v>1703</v>
      </c>
      <c r="D578" s="39" t="s">
        <v>109</v>
      </c>
      <c r="E578" s="48" t="s">
        <v>1110</v>
      </c>
      <c r="F578" s="49" t="s">
        <v>151</v>
      </c>
      <c r="G578" s="39" t="s">
        <v>2853</v>
      </c>
    </row>
    <row r="579" customFormat="false" ht="18" hidden="false" customHeight="true" outlineLevel="0" collapsed="false">
      <c r="A579" s="47" t="n">
        <v>578</v>
      </c>
      <c r="B579" s="39" t="s">
        <v>1709</v>
      </c>
      <c r="C579" s="39" t="s">
        <v>1710</v>
      </c>
      <c r="D579" s="39" t="s">
        <v>77</v>
      </c>
      <c r="E579" s="48" t="s">
        <v>1243</v>
      </c>
      <c r="F579" s="49" t="s">
        <v>79</v>
      </c>
      <c r="G579" s="39" t="s">
        <v>2863</v>
      </c>
    </row>
    <row r="580" customFormat="false" ht="18" hidden="false" customHeight="true" outlineLevel="0" collapsed="false">
      <c r="A580" s="47" t="n">
        <v>579</v>
      </c>
      <c r="B580" s="39" t="s">
        <v>1709</v>
      </c>
      <c r="C580" s="39" t="s">
        <v>1710</v>
      </c>
      <c r="D580" s="39" t="s">
        <v>2845</v>
      </c>
      <c r="E580" s="48" t="s">
        <v>1712</v>
      </c>
      <c r="F580" s="49" t="s">
        <v>3107</v>
      </c>
      <c r="G580" s="39" t="s">
        <v>2847</v>
      </c>
    </row>
    <row r="581" customFormat="false" ht="18" hidden="false" customHeight="true" outlineLevel="0" collapsed="false">
      <c r="A581" s="47" t="n">
        <v>580</v>
      </c>
      <c r="B581" s="39" t="s">
        <v>1709</v>
      </c>
      <c r="C581" s="39" t="s">
        <v>1710</v>
      </c>
      <c r="D581" s="39" t="s">
        <v>2848</v>
      </c>
      <c r="E581" s="48" t="s">
        <v>1713</v>
      </c>
      <c r="F581" s="49" t="s">
        <v>3108</v>
      </c>
      <c r="G581" s="39" t="s">
        <v>2847</v>
      </c>
    </row>
    <row r="582" customFormat="false" ht="18" hidden="false" customHeight="true" outlineLevel="0" collapsed="false">
      <c r="A582" s="47" t="n">
        <v>581</v>
      </c>
      <c r="B582" s="39" t="s">
        <v>1709</v>
      </c>
      <c r="C582" s="39" t="s">
        <v>1710</v>
      </c>
      <c r="D582" s="39" t="s">
        <v>2850</v>
      </c>
      <c r="E582" s="48" t="s">
        <v>1714</v>
      </c>
      <c r="F582" s="49" t="s">
        <v>3109</v>
      </c>
      <c r="G582" s="39" t="s">
        <v>2852</v>
      </c>
    </row>
    <row r="583" customFormat="false" ht="18" hidden="false" customHeight="true" outlineLevel="0" collapsed="false">
      <c r="A583" s="47" t="n">
        <v>582</v>
      </c>
      <c r="B583" s="39" t="s">
        <v>1709</v>
      </c>
      <c r="C583" s="39" t="s">
        <v>1710</v>
      </c>
      <c r="D583" s="39" t="s">
        <v>109</v>
      </c>
      <c r="E583" s="48" t="s">
        <v>1110</v>
      </c>
      <c r="F583" s="49" t="s">
        <v>151</v>
      </c>
      <c r="G583" s="39" t="s">
        <v>2853</v>
      </c>
    </row>
    <row r="584" customFormat="false" ht="18" hidden="false" customHeight="true" outlineLevel="0" collapsed="false">
      <c r="A584" s="47" t="n">
        <v>583</v>
      </c>
      <c r="B584" s="39" t="s">
        <v>341</v>
      </c>
      <c r="C584" s="39" t="s">
        <v>1715</v>
      </c>
      <c r="D584" s="39" t="s">
        <v>100</v>
      </c>
      <c r="E584" s="48" t="s">
        <v>1717</v>
      </c>
      <c r="F584" s="49" t="s">
        <v>339</v>
      </c>
      <c r="G584" s="39" t="s">
        <v>2878</v>
      </c>
    </row>
    <row r="585" customFormat="false" ht="18" hidden="false" customHeight="true" outlineLevel="0" collapsed="false">
      <c r="A585" s="47" t="n">
        <v>584</v>
      </c>
      <c r="B585" s="39" t="s">
        <v>341</v>
      </c>
      <c r="C585" s="39" t="s">
        <v>1715</v>
      </c>
      <c r="D585" s="39" t="s">
        <v>101</v>
      </c>
      <c r="E585" s="48" t="s">
        <v>1718</v>
      </c>
      <c r="F585" s="49" t="s">
        <v>340</v>
      </c>
      <c r="G585" s="39" t="s">
        <v>2843</v>
      </c>
    </row>
    <row r="586" customFormat="false" ht="18" hidden="false" customHeight="true" outlineLevel="0" collapsed="false">
      <c r="A586" s="47" t="n">
        <v>585</v>
      </c>
      <c r="B586" s="39" t="s">
        <v>341</v>
      </c>
      <c r="C586" s="39" t="s">
        <v>1715</v>
      </c>
      <c r="D586" s="39" t="s">
        <v>102</v>
      </c>
      <c r="E586" s="48" t="s">
        <v>1365</v>
      </c>
      <c r="F586" s="49" t="s">
        <v>170</v>
      </c>
      <c r="G586" s="39" t="s">
        <v>2844</v>
      </c>
    </row>
    <row r="587" customFormat="false" ht="18" hidden="false" customHeight="true" outlineLevel="0" collapsed="false">
      <c r="A587" s="47" t="n">
        <v>586</v>
      </c>
      <c r="B587" s="39" t="s">
        <v>341</v>
      </c>
      <c r="C587" s="39" t="s">
        <v>1715</v>
      </c>
      <c r="D587" s="39" t="s">
        <v>2845</v>
      </c>
      <c r="E587" s="48" t="s">
        <v>1719</v>
      </c>
      <c r="F587" s="49" t="s">
        <v>3110</v>
      </c>
      <c r="G587" s="39" t="s">
        <v>2847</v>
      </c>
    </row>
    <row r="588" customFormat="false" ht="18" hidden="false" customHeight="true" outlineLevel="0" collapsed="false">
      <c r="A588" s="47" t="n">
        <v>587</v>
      </c>
      <c r="B588" s="39" t="s">
        <v>341</v>
      </c>
      <c r="C588" s="39" t="s">
        <v>1715</v>
      </c>
      <c r="D588" s="39" t="s">
        <v>2848</v>
      </c>
      <c r="E588" s="48" t="s">
        <v>1720</v>
      </c>
      <c r="F588" s="49" t="s">
        <v>3111</v>
      </c>
      <c r="G588" s="39" t="s">
        <v>2847</v>
      </c>
    </row>
    <row r="589" customFormat="false" ht="18" hidden="false" customHeight="true" outlineLevel="0" collapsed="false">
      <c r="A589" s="47" t="n">
        <v>588</v>
      </c>
      <c r="B589" s="39" t="s">
        <v>341</v>
      </c>
      <c r="C589" s="39" t="s">
        <v>1715</v>
      </c>
      <c r="D589" s="39" t="s">
        <v>2850</v>
      </c>
      <c r="E589" s="48" t="s">
        <v>1721</v>
      </c>
      <c r="F589" s="49" t="s">
        <v>3112</v>
      </c>
      <c r="G589" s="39" t="s">
        <v>2852</v>
      </c>
    </row>
    <row r="590" customFormat="false" ht="18" hidden="false" customHeight="true" outlineLevel="0" collapsed="false">
      <c r="A590" s="47" t="n">
        <v>589</v>
      </c>
      <c r="B590" s="39" t="s">
        <v>341</v>
      </c>
      <c r="C590" s="39" t="s">
        <v>1715</v>
      </c>
      <c r="D590" s="39" t="s">
        <v>109</v>
      </c>
      <c r="E590" s="48" t="s">
        <v>1110</v>
      </c>
      <c r="F590" s="49" t="s">
        <v>151</v>
      </c>
      <c r="G590" s="39" t="s">
        <v>2853</v>
      </c>
    </row>
    <row r="591" customFormat="false" ht="18" hidden="false" customHeight="true" outlineLevel="0" collapsed="false">
      <c r="A591" s="47" t="n">
        <v>590</v>
      </c>
      <c r="B591" s="39" t="s">
        <v>818</v>
      </c>
      <c r="C591" s="39" t="s">
        <v>1722</v>
      </c>
      <c r="D591" s="39" t="s">
        <v>100</v>
      </c>
      <c r="E591" s="48" t="s">
        <v>1724</v>
      </c>
      <c r="F591" s="49" t="s">
        <v>816</v>
      </c>
      <c r="G591" s="39" t="s">
        <v>2878</v>
      </c>
    </row>
    <row r="592" customFormat="false" ht="18" hidden="false" customHeight="true" outlineLevel="0" collapsed="false">
      <c r="A592" s="47" t="n">
        <v>591</v>
      </c>
      <c r="B592" s="39" t="s">
        <v>818</v>
      </c>
      <c r="C592" s="39" t="s">
        <v>1722</v>
      </c>
      <c r="D592" s="39" t="s">
        <v>101</v>
      </c>
      <c r="E592" s="48" t="s">
        <v>1725</v>
      </c>
      <c r="F592" s="49" t="s">
        <v>817</v>
      </c>
      <c r="G592" s="39" t="s">
        <v>2843</v>
      </c>
    </row>
    <row r="593" customFormat="false" ht="18" hidden="false" customHeight="true" outlineLevel="0" collapsed="false">
      <c r="A593" s="47" t="n">
        <v>592</v>
      </c>
      <c r="B593" s="39" t="s">
        <v>818</v>
      </c>
      <c r="C593" s="39" t="s">
        <v>1722</v>
      </c>
      <c r="D593" s="39" t="s">
        <v>102</v>
      </c>
      <c r="E593" s="48" t="s">
        <v>1337</v>
      </c>
      <c r="F593" s="49" t="s">
        <v>128</v>
      </c>
      <c r="G593" s="39" t="s">
        <v>2844</v>
      </c>
    </row>
    <row r="594" customFormat="false" ht="18" hidden="false" customHeight="true" outlineLevel="0" collapsed="false">
      <c r="A594" s="47" t="n">
        <v>593</v>
      </c>
      <c r="B594" s="39" t="s">
        <v>818</v>
      </c>
      <c r="C594" s="39" t="s">
        <v>1722</v>
      </c>
      <c r="D594" s="39" t="s">
        <v>77</v>
      </c>
      <c r="E594" s="48" t="s">
        <v>1243</v>
      </c>
      <c r="F594" s="49" t="s">
        <v>79</v>
      </c>
      <c r="G594" s="39" t="s">
        <v>2863</v>
      </c>
    </row>
    <row r="595" customFormat="false" ht="18" hidden="false" customHeight="true" outlineLevel="0" collapsed="false">
      <c r="A595" s="47" t="n">
        <v>594</v>
      </c>
      <c r="B595" s="39" t="s">
        <v>818</v>
      </c>
      <c r="C595" s="39" t="s">
        <v>1722</v>
      </c>
      <c r="D595" s="39" t="s">
        <v>2845</v>
      </c>
      <c r="E595" s="48" t="s">
        <v>1726</v>
      </c>
      <c r="F595" s="49" t="s">
        <v>3113</v>
      </c>
      <c r="G595" s="39" t="s">
        <v>2847</v>
      </c>
    </row>
    <row r="596" customFormat="false" ht="18" hidden="false" customHeight="true" outlineLevel="0" collapsed="false">
      <c r="A596" s="47" t="n">
        <v>595</v>
      </c>
      <c r="B596" s="39" t="s">
        <v>818</v>
      </c>
      <c r="C596" s="39" t="s">
        <v>1722</v>
      </c>
      <c r="D596" s="39" t="s">
        <v>2848</v>
      </c>
      <c r="E596" s="48" t="s">
        <v>1727</v>
      </c>
      <c r="F596" s="49" t="s">
        <v>3114</v>
      </c>
      <c r="G596" s="39" t="s">
        <v>2847</v>
      </c>
    </row>
    <row r="597" customFormat="false" ht="18" hidden="false" customHeight="true" outlineLevel="0" collapsed="false">
      <c r="A597" s="47" t="n">
        <v>596</v>
      </c>
      <c r="B597" s="39" t="s">
        <v>818</v>
      </c>
      <c r="C597" s="39" t="s">
        <v>1722</v>
      </c>
      <c r="D597" s="39" t="s">
        <v>2850</v>
      </c>
      <c r="E597" s="48" t="s">
        <v>1728</v>
      </c>
      <c r="F597" s="49" t="s">
        <v>3115</v>
      </c>
      <c r="G597" s="39" t="s">
        <v>2852</v>
      </c>
    </row>
    <row r="598" customFormat="false" ht="18" hidden="false" customHeight="true" outlineLevel="0" collapsed="false">
      <c r="A598" s="47" t="n">
        <v>597</v>
      </c>
      <c r="B598" s="39" t="s">
        <v>818</v>
      </c>
      <c r="C598" s="39" t="s">
        <v>1722</v>
      </c>
      <c r="D598" s="39" t="s">
        <v>109</v>
      </c>
      <c r="E598" s="48" t="s">
        <v>1110</v>
      </c>
      <c r="F598" s="49" t="s">
        <v>151</v>
      </c>
      <c r="G598" s="39" t="s">
        <v>2853</v>
      </c>
    </row>
    <row r="599" customFormat="false" ht="18" hidden="false" customHeight="true" outlineLevel="0" collapsed="false">
      <c r="A599" s="47" t="n">
        <v>598</v>
      </c>
      <c r="B599" s="39" t="s">
        <v>1729</v>
      </c>
      <c r="C599" s="39" t="s">
        <v>1730</v>
      </c>
      <c r="D599" s="39" t="s">
        <v>101</v>
      </c>
      <c r="E599" s="48" t="s">
        <v>1732</v>
      </c>
      <c r="F599" s="49" t="s">
        <v>683</v>
      </c>
      <c r="G599" s="39" t="s">
        <v>2843</v>
      </c>
    </row>
    <row r="600" customFormat="false" ht="18" hidden="false" customHeight="true" outlineLevel="0" collapsed="false">
      <c r="A600" s="47" t="n">
        <v>599</v>
      </c>
      <c r="B600" s="39" t="s">
        <v>1729</v>
      </c>
      <c r="C600" s="39" t="s">
        <v>1730</v>
      </c>
      <c r="D600" s="39" t="s">
        <v>102</v>
      </c>
      <c r="E600" s="48" t="s">
        <v>1235</v>
      </c>
      <c r="F600" s="49" t="s">
        <v>120</v>
      </c>
      <c r="G600" s="39" t="s">
        <v>2844</v>
      </c>
    </row>
    <row r="601" customFormat="false" ht="18" hidden="false" customHeight="true" outlineLevel="0" collapsed="false">
      <c r="A601" s="47" t="n">
        <v>600</v>
      </c>
      <c r="B601" s="39" t="s">
        <v>1729</v>
      </c>
      <c r="C601" s="39" t="s">
        <v>1730</v>
      </c>
      <c r="D601" s="39" t="s">
        <v>2845</v>
      </c>
      <c r="E601" s="48" t="s">
        <v>1658</v>
      </c>
      <c r="F601" s="49" t="s">
        <v>3091</v>
      </c>
      <c r="G601" s="39" t="s">
        <v>2847</v>
      </c>
    </row>
    <row r="602" customFormat="false" ht="18" hidden="false" customHeight="true" outlineLevel="0" collapsed="false">
      <c r="A602" s="47" t="n">
        <v>601</v>
      </c>
      <c r="B602" s="39" t="s">
        <v>1729</v>
      </c>
      <c r="C602" s="39" t="s">
        <v>1730</v>
      </c>
      <c r="D602" s="39" t="s">
        <v>2848</v>
      </c>
      <c r="E602" s="48" t="s">
        <v>1733</v>
      </c>
      <c r="F602" s="49" t="s">
        <v>3116</v>
      </c>
      <c r="G602" s="39" t="s">
        <v>2847</v>
      </c>
    </row>
    <row r="603" customFormat="false" ht="18" hidden="false" customHeight="true" outlineLevel="0" collapsed="false">
      <c r="A603" s="47" t="n">
        <v>602</v>
      </c>
      <c r="B603" s="39" t="s">
        <v>1729</v>
      </c>
      <c r="C603" s="39" t="s">
        <v>1730</v>
      </c>
      <c r="D603" s="39" t="s">
        <v>2850</v>
      </c>
      <c r="E603" s="48" t="s">
        <v>1734</v>
      </c>
      <c r="F603" s="49" t="s">
        <v>3117</v>
      </c>
      <c r="G603" s="39" t="s">
        <v>2852</v>
      </c>
    </row>
    <row r="604" customFormat="false" ht="18" hidden="false" customHeight="true" outlineLevel="0" collapsed="false">
      <c r="A604" s="47" t="n">
        <v>603</v>
      </c>
      <c r="B604" s="39" t="s">
        <v>1729</v>
      </c>
      <c r="C604" s="39" t="s">
        <v>1730</v>
      </c>
      <c r="D604" s="39" t="s">
        <v>109</v>
      </c>
      <c r="E604" s="48" t="s">
        <v>1110</v>
      </c>
      <c r="F604" s="49" t="s">
        <v>151</v>
      </c>
      <c r="G604" s="39" t="s">
        <v>2853</v>
      </c>
    </row>
    <row r="605" customFormat="false" ht="18" hidden="false" customHeight="true" outlineLevel="0" collapsed="false">
      <c r="A605" s="47" t="n">
        <v>604</v>
      </c>
      <c r="B605" s="39" t="s">
        <v>1735</v>
      </c>
      <c r="C605" s="39" t="s">
        <v>1736</v>
      </c>
      <c r="D605" s="39" t="s">
        <v>100</v>
      </c>
      <c r="E605" s="48" t="s">
        <v>1738</v>
      </c>
      <c r="F605" s="49" t="s">
        <v>283</v>
      </c>
      <c r="G605" s="39" t="s">
        <v>2878</v>
      </c>
    </row>
    <row r="606" customFormat="false" ht="18" hidden="false" customHeight="true" outlineLevel="0" collapsed="false">
      <c r="A606" s="47" t="n">
        <v>605</v>
      </c>
      <c r="B606" s="39" t="s">
        <v>1735</v>
      </c>
      <c r="C606" s="39" t="s">
        <v>1736</v>
      </c>
      <c r="D606" s="39" t="s">
        <v>102</v>
      </c>
      <c r="E606" s="48" t="s">
        <v>1537</v>
      </c>
      <c r="F606" s="49" t="s">
        <v>150</v>
      </c>
      <c r="G606" s="39" t="s">
        <v>2844</v>
      </c>
    </row>
    <row r="607" customFormat="false" ht="18" hidden="false" customHeight="true" outlineLevel="0" collapsed="false">
      <c r="A607" s="47" t="n">
        <v>606</v>
      </c>
      <c r="B607" s="39" t="s">
        <v>1735</v>
      </c>
      <c r="C607" s="39" t="s">
        <v>1736</v>
      </c>
      <c r="D607" s="39" t="s">
        <v>2845</v>
      </c>
      <c r="E607" s="48" t="s">
        <v>1739</v>
      </c>
      <c r="F607" s="49" t="s">
        <v>3118</v>
      </c>
      <c r="G607" s="39" t="s">
        <v>2847</v>
      </c>
    </row>
    <row r="608" customFormat="false" ht="18" hidden="false" customHeight="true" outlineLevel="0" collapsed="false">
      <c r="A608" s="47" t="n">
        <v>607</v>
      </c>
      <c r="B608" s="39" t="s">
        <v>1735</v>
      </c>
      <c r="C608" s="39" t="s">
        <v>1736</v>
      </c>
      <c r="D608" s="39" t="s">
        <v>2848</v>
      </c>
      <c r="E608" s="48" t="s">
        <v>1740</v>
      </c>
      <c r="F608" s="49" t="s">
        <v>3119</v>
      </c>
      <c r="G608" s="39" t="s">
        <v>2847</v>
      </c>
    </row>
    <row r="609" customFormat="false" ht="18" hidden="false" customHeight="true" outlineLevel="0" collapsed="false">
      <c r="A609" s="47" t="n">
        <v>608</v>
      </c>
      <c r="B609" s="39" t="s">
        <v>1735</v>
      </c>
      <c r="C609" s="39" t="s">
        <v>1736</v>
      </c>
      <c r="D609" s="39" t="s">
        <v>2850</v>
      </c>
      <c r="E609" s="48" t="s">
        <v>1741</v>
      </c>
      <c r="F609" s="49" t="s">
        <v>3120</v>
      </c>
      <c r="G609" s="39" t="s">
        <v>2852</v>
      </c>
    </row>
    <row r="610" customFormat="false" ht="18" hidden="false" customHeight="true" outlineLevel="0" collapsed="false">
      <c r="A610" s="47" t="n">
        <v>609</v>
      </c>
      <c r="B610" s="39" t="s">
        <v>1735</v>
      </c>
      <c r="C610" s="39" t="s">
        <v>1736</v>
      </c>
      <c r="D610" s="39" t="s">
        <v>109</v>
      </c>
      <c r="E610" s="48" t="s">
        <v>1132</v>
      </c>
      <c r="F610" s="49" t="s">
        <v>130</v>
      </c>
      <c r="G610" s="39" t="s">
        <v>2853</v>
      </c>
    </row>
    <row r="611" customFormat="false" ht="18" hidden="false" customHeight="true" outlineLevel="0" collapsed="false">
      <c r="A611" s="47" t="n">
        <v>610</v>
      </c>
      <c r="B611" s="39" t="s">
        <v>885</v>
      </c>
      <c r="C611" s="39" t="s">
        <v>1742</v>
      </c>
      <c r="D611" s="39" t="s">
        <v>2840</v>
      </c>
      <c r="E611" s="48" t="s">
        <v>1743</v>
      </c>
      <c r="F611" s="49" t="s">
        <v>3121</v>
      </c>
      <c r="G611" s="39" t="s">
        <v>2842</v>
      </c>
    </row>
    <row r="612" customFormat="false" ht="18" hidden="false" customHeight="true" outlineLevel="0" collapsed="false">
      <c r="A612" s="47" t="n">
        <v>611</v>
      </c>
      <c r="B612" s="39" t="s">
        <v>885</v>
      </c>
      <c r="C612" s="39" t="s">
        <v>1742</v>
      </c>
      <c r="D612" s="39" t="s">
        <v>101</v>
      </c>
      <c r="E612" s="48" t="s">
        <v>1744</v>
      </c>
      <c r="F612" s="49" t="s">
        <v>884</v>
      </c>
      <c r="G612" s="39" t="s">
        <v>2843</v>
      </c>
    </row>
    <row r="613" customFormat="false" ht="18" hidden="false" customHeight="true" outlineLevel="0" collapsed="false">
      <c r="A613" s="47" t="n">
        <v>612</v>
      </c>
      <c r="B613" s="39" t="s">
        <v>885</v>
      </c>
      <c r="C613" s="39" t="s">
        <v>1742</v>
      </c>
      <c r="D613" s="39" t="s">
        <v>2845</v>
      </c>
      <c r="E613" s="48" t="s">
        <v>1259</v>
      </c>
      <c r="F613" s="49" t="s">
        <v>2916</v>
      </c>
      <c r="G613" s="39" t="s">
        <v>2847</v>
      </c>
    </row>
    <row r="614" customFormat="false" ht="18" hidden="false" customHeight="true" outlineLevel="0" collapsed="false">
      <c r="A614" s="47" t="n">
        <v>613</v>
      </c>
      <c r="B614" s="39" t="s">
        <v>885</v>
      </c>
      <c r="C614" s="39" t="s">
        <v>1742</v>
      </c>
      <c r="D614" s="39" t="s">
        <v>2848</v>
      </c>
      <c r="E614" s="48" t="s">
        <v>1745</v>
      </c>
      <c r="F614" s="49" t="s">
        <v>3122</v>
      </c>
      <c r="G614" s="39" t="s">
        <v>2847</v>
      </c>
    </row>
    <row r="615" customFormat="false" ht="18" hidden="false" customHeight="true" outlineLevel="0" collapsed="false">
      <c r="A615" s="47" t="n">
        <v>614</v>
      </c>
      <c r="B615" s="39" t="s">
        <v>885</v>
      </c>
      <c r="C615" s="39" t="s">
        <v>1742</v>
      </c>
      <c r="D615" s="39" t="s">
        <v>2850</v>
      </c>
      <c r="E615" s="48" t="s">
        <v>1746</v>
      </c>
      <c r="F615" s="49" t="s">
        <v>3123</v>
      </c>
      <c r="G615" s="39" t="s">
        <v>2852</v>
      </c>
    </row>
    <row r="616" customFormat="false" ht="18" hidden="false" customHeight="true" outlineLevel="0" collapsed="false">
      <c r="A616" s="47" t="n">
        <v>615</v>
      </c>
      <c r="B616" s="39" t="s">
        <v>885</v>
      </c>
      <c r="C616" s="39" t="s">
        <v>1742</v>
      </c>
      <c r="D616" s="39" t="s">
        <v>109</v>
      </c>
      <c r="E616" s="48" t="s">
        <v>1110</v>
      </c>
      <c r="F616" s="49" t="s">
        <v>151</v>
      </c>
      <c r="G616" s="39" t="s">
        <v>2853</v>
      </c>
    </row>
    <row r="617" customFormat="false" ht="18" hidden="false" customHeight="true" outlineLevel="0" collapsed="false">
      <c r="A617" s="47" t="n">
        <v>616</v>
      </c>
      <c r="B617" s="39" t="s">
        <v>790</v>
      </c>
      <c r="C617" s="39" t="s">
        <v>1747</v>
      </c>
      <c r="D617" s="39" t="s">
        <v>101</v>
      </c>
      <c r="E617" s="48" t="s">
        <v>1749</v>
      </c>
      <c r="F617" s="49" t="s">
        <v>789</v>
      </c>
      <c r="G617" s="39" t="s">
        <v>2843</v>
      </c>
    </row>
    <row r="618" customFormat="false" ht="18" hidden="false" customHeight="true" outlineLevel="0" collapsed="false">
      <c r="A618" s="47" t="n">
        <v>617</v>
      </c>
      <c r="B618" s="39" t="s">
        <v>790</v>
      </c>
      <c r="C618" s="39" t="s">
        <v>1747</v>
      </c>
      <c r="D618" s="39" t="s">
        <v>102</v>
      </c>
      <c r="E618" s="48" t="s">
        <v>1371</v>
      </c>
      <c r="F618" s="49" t="s">
        <v>150</v>
      </c>
      <c r="G618" s="39" t="s">
        <v>2844</v>
      </c>
    </row>
    <row r="619" customFormat="false" ht="18" hidden="false" customHeight="true" outlineLevel="0" collapsed="false">
      <c r="A619" s="47" t="n">
        <v>618</v>
      </c>
      <c r="B619" s="39" t="s">
        <v>790</v>
      </c>
      <c r="C619" s="39" t="s">
        <v>1747</v>
      </c>
      <c r="D619" s="39" t="s">
        <v>77</v>
      </c>
      <c r="E619" s="48" t="s">
        <v>1236</v>
      </c>
      <c r="F619" s="49" t="s">
        <v>80</v>
      </c>
      <c r="G619" s="39" t="s">
        <v>2863</v>
      </c>
    </row>
    <row r="620" customFormat="false" ht="18" hidden="false" customHeight="true" outlineLevel="0" collapsed="false">
      <c r="A620" s="47" t="n">
        <v>619</v>
      </c>
      <c r="B620" s="39" t="s">
        <v>790</v>
      </c>
      <c r="C620" s="39" t="s">
        <v>1747</v>
      </c>
      <c r="D620" s="39" t="s">
        <v>2845</v>
      </c>
      <c r="E620" s="48" t="s">
        <v>1750</v>
      </c>
      <c r="F620" s="49" t="s">
        <v>3124</v>
      </c>
      <c r="G620" s="39" t="s">
        <v>2847</v>
      </c>
    </row>
    <row r="621" customFormat="false" ht="18" hidden="false" customHeight="true" outlineLevel="0" collapsed="false">
      <c r="A621" s="47" t="n">
        <v>620</v>
      </c>
      <c r="B621" s="39" t="s">
        <v>790</v>
      </c>
      <c r="C621" s="39" t="s">
        <v>1747</v>
      </c>
      <c r="D621" s="39" t="s">
        <v>2848</v>
      </c>
      <c r="E621" s="48" t="s">
        <v>1751</v>
      </c>
      <c r="F621" s="49" t="s">
        <v>3125</v>
      </c>
      <c r="G621" s="39" t="s">
        <v>2847</v>
      </c>
    </row>
    <row r="622" customFormat="false" ht="18" hidden="false" customHeight="true" outlineLevel="0" collapsed="false">
      <c r="A622" s="47" t="n">
        <v>621</v>
      </c>
      <c r="B622" s="39" t="s">
        <v>790</v>
      </c>
      <c r="C622" s="39" t="s">
        <v>1747</v>
      </c>
      <c r="D622" s="39" t="s">
        <v>2850</v>
      </c>
      <c r="E622" s="48" t="s">
        <v>1752</v>
      </c>
      <c r="F622" s="49" t="s">
        <v>3126</v>
      </c>
      <c r="G622" s="39" t="s">
        <v>2852</v>
      </c>
    </row>
    <row r="623" customFormat="false" ht="18" hidden="false" customHeight="true" outlineLevel="0" collapsed="false">
      <c r="A623" s="47" t="n">
        <v>622</v>
      </c>
      <c r="B623" s="39" t="s">
        <v>790</v>
      </c>
      <c r="C623" s="39" t="s">
        <v>1747</v>
      </c>
      <c r="D623" s="39" t="s">
        <v>109</v>
      </c>
      <c r="E623" s="48" t="s">
        <v>1132</v>
      </c>
      <c r="F623" s="49" t="s">
        <v>130</v>
      </c>
      <c r="G623" s="39" t="s">
        <v>2853</v>
      </c>
    </row>
    <row r="624" customFormat="false" ht="18" hidden="false" customHeight="true" outlineLevel="0" collapsed="false">
      <c r="A624" s="47" t="n">
        <v>623</v>
      </c>
      <c r="B624" s="39" t="s">
        <v>773</v>
      </c>
      <c r="C624" s="39" t="s">
        <v>1753</v>
      </c>
      <c r="D624" s="39" t="s">
        <v>2845</v>
      </c>
      <c r="E624" s="48" t="s">
        <v>1755</v>
      </c>
      <c r="F624" s="49" t="s">
        <v>3127</v>
      </c>
      <c r="G624" s="39" t="s">
        <v>2847</v>
      </c>
    </row>
    <row r="625" customFormat="false" ht="18" hidden="false" customHeight="true" outlineLevel="0" collapsed="false">
      <c r="A625" s="47" t="n">
        <v>624</v>
      </c>
      <c r="B625" s="39" t="s">
        <v>773</v>
      </c>
      <c r="C625" s="39" t="s">
        <v>1753</v>
      </c>
      <c r="D625" s="39" t="s">
        <v>2848</v>
      </c>
      <c r="E625" s="48" t="s">
        <v>1756</v>
      </c>
      <c r="F625" s="49" t="s">
        <v>3128</v>
      </c>
      <c r="G625" s="39" t="s">
        <v>2847</v>
      </c>
    </row>
    <row r="626" customFormat="false" ht="18" hidden="false" customHeight="true" outlineLevel="0" collapsed="false">
      <c r="A626" s="47" t="n">
        <v>625</v>
      </c>
      <c r="B626" s="39" t="s">
        <v>773</v>
      </c>
      <c r="C626" s="39" t="s">
        <v>1753</v>
      </c>
      <c r="D626" s="39" t="s">
        <v>2850</v>
      </c>
      <c r="E626" s="48" t="s">
        <v>1757</v>
      </c>
      <c r="F626" s="49" t="s">
        <v>3129</v>
      </c>
      <c r="G626" s="39" t="s">
        <v>2852</v>
      </c>
    </row>
    <row r="627" customFormat="false" ht="18" hidden="false" customHeight="true" outlineLevel="0" collapsed="false">
      <c r="A627" s="47" t="n">
        <v>626</v>
      </c>
      <c r="B627" s="39" t="s">
        <v>773</v>
      </c>
      <c r="C627" s="39" t="s">
        <v>1753</v>
      </c>
      <c r="D627" s="39" t="s">
        <v>109</v>
      </c>
      <c r="E627" s="48" t="s">
        <v>1132</v>
      </c>
      <c r="F627" s="49" t="s">
        <v>130</v>
      </c>
      <c r="G627" s="39" t="s">
        <v>2853</v>
      </c>
    </row>
    <row r="628" customFormat="false" ht="18" hidden="false" customHeight="true" outlineLevel="0" collapsed="false">
      <c r="A628" s="47" t="n">
        <v>627</v>
      </c>
      <c r="B628" s="39" t="s">
        <v>1758</v>
      </c>
      <c r="C628" s="39" t="s">
        <v>1759</v>
      </c>
      <c r="D628" s="39" t="s">
        <v>2840</v>
      </c>
      <c r="E628" s="48" t="s">
        <v>1760</v>
      </c>
      <c r="F628" s="49" t="s">
        <v>2702</v>
      </c>
      <c r="G628" s="39" t="s">
        <v>2842</v>
      </c>
    </row>
    <row r="629" customFormat="false" ht="18" hidden="false" customHeight="true" outlineLevel="0" collapsed="false">
      <c r="A629" s="47" t="n">
        <v>628</v>
      </c>
      <c r="B629" s="39" t="s">
        <v>1758</v>
      </c>
      <c r="C629" s="39" t="s">
        <v>1759</v>
      </c>
      <c r="D629" s="39" t="s">
        <v>100</v>
      </c>
      <c r="E629" s="48" t="s">
        <v>1761</v>
      </c>
      <c r="F629" s="49" t="s">
        <v>988</v>
      </c>
      <c r="G629" s="39" t="s">
        <v>2870</v>
      </c>
    </row>
    <row r="630" customFormat="false" ht="18" hidden="false" customHeight="true" outlineLevel="0" collapsed="false">
      <c r="A630" s="47" t="n">
        <v>629</v>
      </c>
      <c r="B630" s="39" t="s">
        <v>1758</v>
      </c>
      <c r="C630" s="39" t="s">
        <v>1759</v>
      </c>
      <c r="D630" s="39" t="s">
        <v>101</v>
      </c>
      <c r="E630" s="48" t="s">
        <v>1762</v>
      </c>
      <c r="F630" s="49" t="s">
        <v>989</v>
      </c>
      <c r="G630" s="39" t="s">
        <v>2843</v>
      </c>
    </row>
    <row r="631" customFormat="false" ht="18" hidden="false" customHeight="true" outlineLevel="0" collapsed="false">
      <c r="A631" s="47" t="n">
        <v>630</v>
      </c>
      <c r="B631" s="39" t="s">
        <v>1758</v>
      </c>
      <c r="C631" s="39" t="s">
        <v>1759</v>
      </c>
      <c r="D631" s="39" t="s">
        <v>102</v>
      </c>
      <c r="E631" s="48" t="s">
        <v>1564</v>
      </c>
      <c r="F631" s="49" t="s">
        <v>120</v>
      </c>
      <c r="G631" s="39" t="s">
        <v>2844</v>
      </c>
    </row>
    <row r="632" customFormat="false" ht="18" hidden="false" customHeight="true" outlineLevel="0" collapsed="false">
      <c r="A632" s="47" t="n">
        <v>631</v>
      </c>
      <c r="B632" s="39" t="s">
        <v>1758</v>
      </c>
      <c r="C632" s="39" t="s">
        <v>1759</v>
      </c>
      <c r="D632" s="39" t="s">
        <v>2845</v>
      </c>
      <c r="E632" s="48" t="s">
        <v>1763</v>
      </c>
      <c r="F632" s="49" t="s">
        <v>3130</v>
      </c>
      <c r="G632" s="39" t="s">
        <v>2847</v>
      </c>
    </row>
    <row r="633" customFormat="false" ht="18" hidden="false" customHeight="true" outlineLevel="0" collapsed="false">
      <c r="A633" s="47" t="n">
        <v>632</v>
      </c>
      <c r="B633" s="39" t="s">
        <v>1758</v>
      </c>
      <c r="C633" s="39" t="s">
        <v>1759</v>
      </c>
      <c r="D633" s="39" t="s">
        <v>2848</v>
      </c>
      <c r="E633" s="48" t="s">
        <v>1764</v>
      </c>
      <c r="F633" s="49" t="s">
        <v>3131</v>
      </c>
      <c r="G633" s="39" t="s">
        <v>2847</v>
      </c>
    </row>
    <row r="634" customFormat="false" ht="18" hidden="false" customHeight="true" outlineLevel="0" collapsed="false">
      <c r="A634" s="47" t="n">
        <v>633</v>
      </c>
      <c r="B634" s="39" t="s">
        <v>1758</v>
      </c>
      <c r="C634" s="39" t="s">
        <v>1759</v>
      </c>
      <c r="D634" s="39" t="s">
        <v>2850</v>
      </c>
      <c r="E634" s="48" t="s">
        <v>1765</v>
      </c>
      <c r="F634" s="49" t="s">
        <v>3132</v>
      </c>
      <c r="G634" s="39" t="s">
        <v>2852</v>
      </c>
    </row>
    <row r="635" customFormat="false" ht="18" hidden="false" customHeight="true" outlineLevel="0" collapsed="false">
      <c r="A635" s="47" t="n">
        <v>634</v>
      </c>
      <c r="B635" s="39" t="s">
        <v>1758</v>
      </c>
      <c r="C635" s="39" t="s">
        <v>1759</v>
      </c>
      <c r="D635" s="39" t="s">
        <v>109</v>
      </c>
      <c r="E635" s="48" t="s">
        <v>1110</v>
      </c>
      <c r="F635" s="49" t="s">
        <v>151</v>
      </c>
      <c r="G635" s="39" t="s">
        <v>2853</v>
      </c>
    </row>
    <row r="636" customFormat="false" ht="18" hidden="false" customHeight="true" outlineLevel="0" collapsed="false">
      <c r="A636" s="47" t="n">
        <v>635</v>
      </c>
      <c r="B636" s="39" t="s">
        <v>550</v>
      </c>
      <c r="C636" s="39" t="s">
        <v>1766</v>
      </c>
      <c r="D636" s="39" t="s">
        <v>101</v>
      </c>
      <c r="E636" s="48" t="s">
        <v>1768</v>
      </c>
      <c r="F636" s="49" t="s">
        <v>549</v>
      </c>
      <c r="G636" s="39" t="s">
        <v>2843</v>
      </c>
    </row>
    <row r="637" customFormat="false" ht="18" hidden="false" customHeight="true" outlineLevel="0" collapsed="false">
      <c r="A637" s="47" t="n">
        <v>636</v>
      </c>
      <c r="B637" s="39" t="s">
        <v>550</v>
      </c>
      <c r="C637" s="39" t="s">
        <v>1766</v>
      </c>
      <c r="D637" s="39" t="s">
        <v>2845</v>
      </c>
      <c r="E637" s="48" t="s">
        <v>1769</v>
      </c>
      <c r="F637" s="49" t="s">
        <v>3133</v>
      </c>
      <c r="G637" s="39" t="s">
        <v>2847</v>
      </c>
    </row>
    <row r="638" customFormat="false" ht="18" hidden="false" customHeight="true" outlineLevel="0" collapsed="false">
      <c r="A638" s="47" t="n">
        <v>637</v>
      </c>
      <c r="B638" s="39" t="s">
        <v>550</v>
      </c>
      <c r="C638" s="39" t="s">
        <v>1766</v>
      </c>
      <c r="D638" s="39" t="s">
        <v>2848</v>
      </c>
      <c r="E638" s="48" t="s">
        <v>1770</v>
      </c>
      <c r="F638" s="49" t="s">
        <v>3134</v>
      </c>
      <c r="G638" s="39" t="s">
        <v>2847</v>
      </c>
    </row>
    <row r="639" customFormat="false" ht="18" hidden="false" customHeight="true" outlineLevel="0" collapsed="false">
      <c r="A639" s="47" t="n">
        <v>638</v>
      </c>
      <c r="B639" s="39" t="s">
        <v>550</v>
      </c>
      <c r="C639" s="39" t="s">
        <v>1766</v>
      </c>
      <c r="D639" s="39" t="s">
        <v>2850</v>
      </c>
      <c r="E639" s="48" t="s">
        <v>1771</v>
      </c>
      <c r="F639" s="49" t="s">
        <v>3135</v>
      </c>
      <c r="G639" s="39" t="s">
        <v>2852</v>
      </c>
    </row>
    <row r="640" customFormat="false" ht="18" hidden="false" customHeight="true" outlineLevel="0" collapsed="false">
      <c r="A640" s="47" t="n">
        <v>639</v>
      </c>
      <c r="B640" s="39" t="s">
        <v>550</v>
      </c>
      <c r="C640" s="39" t="s">
        <v>1766</v>
      </c>
      <c r="D640" s="39" t="s">
        <v>109</v>
      </c>
      <c r="E640" s="48" t="s">
        <v>1110</v>
      </c>
      <c r="F640" s="49" t="s">
        <v>151</v>
      </c>
      <c r="G640" s="39" t="s">
        <v>2853</v>
      </c>
    </row>
    <row r="641" customFormat="false" ht="18" hidden="false" customHeight="true" outlineLevel="0" collapsed="false">
      <c r="A641" s="47" t="n">
        <v>640</v>
      </c>
      <c r="B641" s="39" t="s">
        <v>973</v>
      </c>
      <c r="C641" s="39" t="s">
        <v>1772</v>
      </c>
      <c r="D641" s="39" t="s">
        <v>100</v>
      </c>
      <c r="E641" s="48" t="s">
        <v>1774</v>
      </c>
      <c r="F641" s="49" t="s">
        <v>971</v>
      </c>
      <c r="G641" s="39" t="s">
        <v>2878</v>
      </c>
    </row>
    <row r="642" customFormat="false" ht="18" hidden="false" customHeight="true" outlineLevel="0" collapsed="false">
      <c r="A642" s="47" t="n">
        <v>641</v>
      </c>
      <c r="B642" s="39" t="s">
        <v>973</v>
      </c>
      <c r="C642" s="39" t="s">
        <v>1772</v>
      </c>
      <c r="D642" s="39" t="s">
        <v>101</v>
      </c>
      <c r="E642" s="48" t="s">
        <v>1775</v>
      </c>
      <c r="F642" s="49" t="s">
        <v>972</v>
      </c>
      <c r="G642" s="39" t="s">
        <v>2843</v>
      </c>
    </row>
    <row r="643" customFormat="false" ht="18" hidden="false" customHeight="true" outlineLevel="0" collapsed="false">
      <c r="A643" s="47" t="n">
        <v>642</v>
      </c>
      <c r="B643" s="39" t="s">
        <v>973</v>
      </c>
      <c r="C643" s="39" t="s">
        <v>1772</v>
      </c>
      <c r="D643" s="39" t="s">
        <v>102</v>
      </c>
      <c r="E643" s="48" t="s">
        <v>1544</v>
      </c>
      <c r="F643" s="49" t="s">
        <v>163</v>
      </c>
      <c r="G643" s="39" t="s">
        <v>2844</v>
      </c>
    </row>
    <row r="644" customFormat="false" ht="18" hidden="false" customHeight="true" outlineLevel="0" collapsed="false">
      <c r="A644" s="47" t="n">
        <v>643</v>
      </c>
      <c r="B644" s="39" t="s">
        <v>973</v>
      </c>
      <c r="C644" s="39" t="s">
        <v>1772</v>
      </c>
      <c r="D644" s="39" t="s">
        <v>77</v>
      </c>
      <c r="E644" s="48" t="s">
        <v>1173</v>
      </c>
      <c r="F644" s="49" t="s">
        <v>79</v>
      </c>
      <c r="G644" s="39" t="s">
        <v>2863</v>
      </c>
    </row>
    <row r="645" customFormat="false" ht="18" hidden="false" customHeight="true" outlineLevel="0" collapsed="false">
      <c r="A645" s="47" t="n">
        <v>644</v>
      </c>
      <c r="B645" s="39" t="s">
        <v>973</v>
      </c>
      <c r="C645" s="39" t="s">
        <v>1772</v>
      </c>
      <c r="D645" s="39" t="s">
        <v>2845</v>
      </c>
      <c r="E645" s="48" t="s">
        <v>1776</v>
      </c>
      <c r="F645" s="49" t="s">
        <v>2209</v>
      </c>
      <c r="G645" s="39" t="s">
        <v>2847</v>
      </c>
    </row>
    <row r="646" customFormat="false" ht="18" hidden="false" customHeight="true" outlineLevel="0" collapsed="false">
      <c r="A646" s="47" t="n">
        <v>645</v>
      </c>
      <c r="B646" s="39" t="s">
        <v>973</v>
      </c>
      <c r="C646" s="39" t="s">
        <v>1772</v>
      </c>
      <c r="D646" s="39" t="s">
        <v>2848</v>
      </c>
      <c r="E646" s="48" t="s">
        <v>1512</v>
      </c>
      <c r="F646" s="49" t="s">
        <v>3025</v>
      </c>
      <c r="G646" s="39" t="s">
        <v>2847</v>
      </c>
    </row>
    <row r="647" customFormat="false" ht="18" hidden="false" customHeight="true" outlineLevel="0" collapsed="false">
      <c r="A647" s="47" t="n">
        <v>646</v>
      </c>
      <c r="B647" s="39" t="s">
        <v>973</v>
      </c>
      <c r="C647" s="39" t="s">
        <v>1772</v>
      </c>
      <c r="D647" s="39" t="s">
        <v>2850</v>
      </c>
      <c r="E647" s="48" t="s">
        <v>1777</v>
      </c>
      <c r="F647" s="49" t="s">
        <v>3136</v>
      </c>
      <c r="G647" s="39" t="s">
        <v>2852</v>
      </c>
    </row>
    <row r="648" customFormat="false" ht="18" hidden="false" customHeight="true" outlineLevel="0" collapsed="false">
      <c r="A648" s="47" t="n">
        <v>647</v>
      </c>
      <c r="B648" s="39" t="s">
        <v>973</v>
      </c>
      <c r="C648" s="39" t="s">
        <v>1772</v>
      </c>
      <c r="D648" s="39" t="s">
        <v>109</v>
      </c>
      <c r="E648" s="48" t="s">
        <v>1110</v>
      </c>
      <c r="F648" s="49" t="s">
        <v>151</v>
      </c>
      <c r="G648" s="39" t="s">
        <v>2853</v>
      </c>
    </row>
    <row r="649" customFormat="false" ht="18" hidden="false" customHeight="true" outlineLevel="0" collapsed="false">
      <c r="A649" s="47" t="n">
        <v>648</v>
      </c>
      <c r="B649" s="39" t="s">
        <v>1778</v>
      </c>
      <c r="C649" s="39" t="s">
        <v>1779</v>
      </c>
      <c r="D649" s="39" t="s">
        <v>2840</v>
      </c>
      <c r="E649" s="48" t="s">
        <v>1780</v>
      </c>
      <c r="F649" s="49" t="s">
        <v>2043</v>
      </c>
      <c r="G649" s="39" t="s">
        <v>2842</v>
      </c>
    </row>
    <row r="650" customFormat="false" ht="18" hidden="false" customHeight="true" outlineLevel="0" collapsed="false">
      <c r="A650" s="47" t="n">
        <v>649</v>
      </c>
      <c r="B650" s="39" t="s">
        <v>1778</v>
      </c>
      <c r="C650" s="39" t="s">
        <v>1779</v>
      </c>
      <c r="D650" s="39" t="s">
        <v>100</v>
      </c>
      <c r="E650" s="48" t="s">
        <v>1781</v>
      </c>
      <c r="F650" s="49" t="s">
        <v>900</v>
      </c>
      <c r="G650" s="39" t="s">
        <v>2878</v>
      </c>
    </row>
    <row r="651" customFormat="false" ht="18" hidden="false" customHeight="true" outlineLevel="0" collapsed="false">
      <c r="A651" s="47" t="n">
        <v>650</v>
      </c>
      <c r="B651" s="39" t="s">
        <v>1778</v>
      </c>
      <c r="C651" s="39" t="s">
        <v>1779</v>
      </c>
      <c r="D651" s="39" t="s">
        <v>101</v>
      </c>
      <c r="E651" s="48" t="s">
        <v>1782</v>
      </c>
      <c r="F651" s="49" t="s">
        <v>901</v>
      </c>
      <c r="G651" s="39" t="s">
        <v>2843</v>
      </c>
    </row>
    <row r="652" customFormat="false" ht="18" hidden="false" customHeight="true" outlineLevel="0" collapsed="false">
      <c r="A652" s="47" t="n">
        <v>651</v>
      </c>
      <c r="B652" s="39" t="s">
        <v>1778</v>
      </c>
      <c r="C652" s="39" t="s">
        <v>1779</v>
      </c>
      <c r="D652" s="39" t="s">
        <v>2845</v>
      </c>
      <c r="E652" s="48" t="s">
        <v>1783</v>
      </c>
      <c r="F652" s="49" t="s">
        <v>3137</v>
      </c>
      <c r="G652" s="39" t="s">
        <v>2847</v>
      </c>
    </row>
    <row r="653" customFormat="false" ht="18" hidden="false" customHeight="true" outlineLevel="0" collapsed="false">
      <c r="A653" s="47" t="n">
        <v>652</v>
      </c>
      <c r="B653" s="39" t="s">
        <v>1778</v>
      </c>
      <c r="C653" s="39" t="s">
        <v>1779</v>
      </c>
      <c r="D653" s="39" t="s">
        <v>2848</v>
      </c>
      <c r="E653" s="48" t="s">
        <v>1784</v>
      </c>
      <c r="F653" s="49" t="s">
        <v>3138</v>
      </c>
      <c r="G653" s="39" t="s">
        <v>2847</v>
      </c>
    </row>
    <row r="654" customFormat="false" ht="18" hidden="false" customHeight="true" outlineLevel="0" collapsed="false">
      <c r="A654" s="47" t="n">
        <v>653</v>
      </c>
      <c r="B654" s="39" t="s">
        <v>1778</v>
      </c>
      <c r="C654" s="39" t="s">
        <v>1779</v>
      </c>
      <c r="D654" s="39" t="s">
        <v>2850</v>
      </c>
      <c r="E654" s="48" t="s">
        <v>1785</v>
      </c>
      <c r="F654" s="49" t="s">
        <v>3139</v>
      </c>
      <c r="G654" s="39" t="s">
        <v>2852</v>
      </c>
    </row>
    <row r="655" customFormat="false" ht="18" hidden="false" customHeight="true" outlineLevel="0" collapsed="false">
      <c r="A655" s="47" t="n">
        <v>654</v>
      </c>
      <c r="B655" s="39" t="s">
        <v>1778</v>
      </c>
      <c r="C655" s="39" t="s">
        <v>1779</v>
      </c>
      <c r="D655" s="39" t="s">
        <v>109</v>
      </c>
      <c r="E655" s="48" t="s">
        <v>1110</v>
      </c>
      <c r="F655" s="49" t="s">
        <v>151</v>
      </c>
      <c r="G655" s="39" t="s">
        <v>2853</v>
      </c>
    </row>
    <row r="656" customFormat="false" ht="18" hidden="false" customHeight="true" outlineLevel="0" collapsed="false">
      <c r="A656" s="47" t="n">
        <v>655</v>
      </c>
      <c r="B656" s="39" t="s">
        <v>1786</v>
      </c>
      <c r="C656" s="39" t="s">
        <v>1787</v>
      </c>
      <c r="D656" s="39" t="s">
        <v>101</v>
      </c>
      <c r="E656" s="48" t="s">
        <v>1789</v>
      </c>
      <c r="F656" s="49" t="s">
        <v>711</v>
      </c>
      <c r="G656" s="39" t="s">
        <v>2843</v>
      </c>
    </row>
    <row r="657" customFormat="false" ht="18" hidden="false" customHeight="true" outlineLevel="0" collapsed="false">
      <c r="A657" s="47" t="n">
        <v>656</v>
      </c>
      <c r="B657" s="39" t="s">
        <v>1786</v>
      </c>
      <c r="C657" s="39" t="s">
        <v>1787</v>
      </c>
      <c r="D657" s="39" t="s">
        <v>102</v>
      </c>
      <c r="E657" s="48" t="s">
        <v>1194</v>
      </c>
      <c r="F657" s="49" t="s">
        <v>128</v>
      </c>
      <c r="G657" s="39" t="s">
        <v>2844</v>
      </c>
    </row>
    <row r="658" customFormat="false" ht="18" hidden="false" customHeight="true" outlineLevel="0" collapsed="false">
      <c r="A658" s="47" t="n">
        <v>657</v>
      </c>
      <c r="B658" s="39" t="s">
        <v>1786</v>
      </c>
      <c r="C658" s="39" t="s">
        <v>1787</v>
      </c>
      <c r="D658" s="39" t="s">
        <v>2845</v>
      </c>
      <c r="E658" s="48" t="s">
        <v>1790</v>
      </c>
      <c r="F658" s="49" t="s">
        <v>3140</v>
      </c>
      <c r="G658" s="39" t="s">
        <v>2847</v>
      </c>
    </row>
    <row r="659" customFormat="false" ht="18" hidden="false" customHeight="true" outlineLevel="0" collapsed="false">
      <c r="A659" s="47" t="n">
        <v>658</v>
      </c>
      <c r="B659" s="39" t="s">
        <v>1786</v>
      </c>
      <c r="C659" s="39" t="s">
        <v>1787</v>
      </c>
      <c r="D659" s="39" t="s">
        <v>2848</v>
      </c>
      <c r="E659" s="48" t="s">
        <v>1791</v>
      </c>
      <c r="F659" s="49" t="s">
        <v>3141</v>
      </c>
      <c r="G659" s="39" t="s">
        <v>2847</v>
      </c>
    </row>
    <row r="660" customFormat="false" ht="18" hidden="false" customHeight="true" outlineLevel="0" collapsed="false">
      <c r="A660" s="47" t="n">
        <v>659</v>
      </c>
      <c r="B660" s="39" t="s">
        <v>1786</v>
      </c>
      <c r="C660" s="39" t="s">
        <v>1787</v>
      </c>
      <c r="D660" s="39" t="s">
        <v>2850</v>
      </c>
      <c r="E660" s="48" t="s">
        <v>1765</v>
      </c>
      <c r="F660" s="49" t="s">
        <v>3132</v>
      </c>
      <c r="G660" s="39" t="s">
        <v>2852</v>
      </c>
    </row>
    <row r="661" customFormat="false" ht="18" hidden="false" customHeight="true" outlineLevel="0" collapsed="false">
      <c r="A661" s="47" t="n">
        <v>660</v>
      </c>
      <c r="B661" s="39" t="s">
        <v>1786</v>
      </c>
      <c r="C661" s="39" t="s">
        <v>1787</v>
      </c>
      <c r="D661" s="39" t="s">
        <v>109</v>
      </c>
      <c r="E661" s="48" t="s">
        <v>1132</v>
      </c>
      <c r="F661" s="49" t="s">
        <v>130</v>
      </c>
      <c r="G661" s="39" t="s">
        <v>2853</v>
      </c>
    </row>
    <row r="662" customFormat="false" ht="18" hidden="false" customHeight="true" outlineLevel="0" collapsed="false">
      <c r="A662" s="47" t="n">
        <v>661</v>
      </c>
      <c r="B662" s="39" t="s">
        <v>802</v>
      </c>
      <c r="C662" s="39" t="s">
        <v>1792</v>
      </c>
      <c r="D662" s="39" t="s">
        <v>101</v>
      </c>
      <c r="E662" s="48" t="s">
        <v>1794</v>
      </c>
      <c r="F662" s="49" t="s">
        <v>801</v>
      </c>
      <c r="G662" s="39" t="s">
        <v>2843</v>
      </c>
    </row>
    <row r="663" customFormat="false" ht="18" hidden="false" customHeight="true" outlineLevel="0" collapsed="false">
      <c r="A663" s="47" t="n">
        <v>662</v>
      </c>
      <c r="B663" s="39" t="s">
        <v>802</v>
      </c>
      <c r="C663" s="39" t="s">
        <v>1792</v>
      </c>
      <c r="D663" s="39" t="s">
        <v>77</v>
      </c>
      <c r="E663" s="48" t="s">
        <v>1236</v>
      </c>
      <c r="F663" s="49" t="s">
        <v>80</v>
      </c>
      <c r="G663" s="39" t="s">
        <v>2863</v>
      </c>
    </row>
    <row r="664" customFormat="false" ht="18" hidden="false" customHeight="true" outlineLevel="0" collapsed="false">
      <c r="A664" s="47" t="n">
        <v>663</v>
      </c>
      <c r="B664" s="39" t="s">
        <v>802</v>
      </c>
      <c r="C664" s="39" t="s">
        <v>1792</v>
      </c>
      <c r="D664" s="39" t="s">
        <v>2845</v>
      </c>
      <c r="E664" s="48" t="s">
        <v>1795</v>
      </c>
      <c r="F664" s="49" t="s">
        <v>3142</v>
      </c>
      <c r="G664" s="39" t="s">
        <v>2847</v>
      </c>
    </row>
    <row r="665" customFormat="false" ht="18" hidden="false" customHeight="true" outlineLevel="0" collapsed="false">
      <c r="A665" s="47" t="n">
        <v>664</v>
      </c>
      <c r="B665" s="39" t="s">
        <v>802</v>
      </c>
      <c r="C665" s="39" t="s">
        <v>1792</v>
      </c>
      <c r="D665" s="39" t="s">
        <v>2848</v>
      </c>
      <c r="E665" s="48" t="s">
        <v>1796</v>
      </c>
      <c r="F665" s="49" t="s">
        <v>2221</v>
      </c>
      <c r="G665" s="39" t="s">
        <v>2847</v>
      </c>
    </row>
    <row r="666" customFormat="false" ht="18" hidden="false" customHeight="true" outlineLevel="0" collapsed="false">
      <c r="A666" s="47" t="n">
        <v>665</v>
      </c>
      <c r="B666" s="39" t="s">
        <v>802</v>
      </c>
      <c r="C666" s="39" t="s">
        <v>1792</v>
      </c>
      <c r="D666" s="39" t="s">
        <v>2850</v>
      </c>
      <c r="E666" s="48" t="s">
        <v>1797</v>
      </c>
      <c r="F666" s="49" t="s">
        <v>3143</v>
      </c>
      <c r="G666" s="39" t="s">
        <v>2852</v>
      </c>
    </row>
    <row r="667" customFormat="false" ht="18" hidden="false" customHeight="true" outlineLevel="0" collapsed="false">
      <c r="A667" s="47" t="n">
        <v>666</v>
      </c>
      <c r="B667" s="39" t="s">
        <v>802</v>
      </c>
      <c r="C667" s="39" t="s">
        <v>1792</v>
      </c>
      <c r="D667" s="39" t="s">
        <v>109</v>
      </c>
      <c r="E667" s="48" t="s">
        <v>1110</v>
      </c>
      <c r="F667" s="49" t="s">
        <v>151</v>
      </c>
      <c r="G667" s="39" t="s">
        <v>2853</v>
      </c>
    </row>
    <row r="668" customFormat="false" ht="18" hidden="false" customHeight="true" outlineLevel="0" collapsed="false">
      <c r="A668" s="47" t="n">
        <v>667</v>
      </c>
      <c r="B668" s="39" t="s">
        <v>545</v>
      </c>
      <c r="C668" s="39" t="s">
        <v>1798</v>
      </c>
      <c r="D668" s="39" t="s">
        <v>100</v>
      </c>
      <c r="E668" s="48" t="s">
        <v>1800</v>
      </c>
      <c r="F668" s="49" t="s">
        <v>543</v>
      </c>
      <c r="G668" s="39" t="s">
        <v>2878</v>
      </c>
    </row>
    <row r="669" customFormat="false" ht="18" hidden="false" customHeight="true" outlineLevel="0" collapsed="false">
      <c r="A669" s="47" t="n">
        <v>668</v>
      </c>
      <c r="B669" s="39" t="s">
        <v>545</v>
      </c>
      <c r="C669" s="39" t="s">
        <v>1798</v>
      </c>
      <c r="D669" s="39" t="s">
        <v>101</v>
      </c>
      <c r="E669" s="48" t="s">
        <v>1801</v>
      </c>
      <c r="F669" s="49" t="s">
        <v>544</v>
      </c>
      <c r="G669" s="39" t="s">
        <v>2843</v>
      </c>
    </row>
    <row r="670" customFormat="false" ht="18" hidden="false" customHeight="true" outlineLevel="0" collapsed="false">
      <c r="A670" s="47" t="n">
        <v>669</v>
      </c>
      <c r="B670" s="39" t="s">
        <v>545</v>
      </c>
      <c r="C670" s="39" t="s">
        <v>1798</v>
      </c>
      <c r="D670" s="39" t="s">
        <v>102</v>
      </c>
      <c r="E670" s="48" t="s">
        <v>1194</v>
      </c>
      <c r="F670" s="49" t="s">
        <v>128</v>
      </c>
      <c r="G670" s="39" t="s">
        <v>2844</v>
      </c>
    </row>
    <row r="671" customFormat="false" ht="18" hidden="false" customHeight="true" outlineLevel="0" collapsed="false">
      <c r="A671" s="47" t="n">
        <v>670</v>
      </c>
      <c r="B671" s="39" t="s">
        <v>545</v>
      </c>
      <c r="C671" s="39" t="s">
        <v>1798</v>
      </c>
      <c r="D671" s="39" t="s">
        <v>77</v>
      </c>
      <c r="E671" s="48" t="s">
        <v>1243</v>
      </c>
      <c r="F671" s="49" t="s">
        <v>79</v>
      </c>
      <c r="G671" s="39" t="s">
        <v>2863</v>
      </c>
    </row>
    <row r="672" customFormat="false" ht="18" hidden="false" customHeight="true" outlineLevel="0" collapsed="false">
      <c r="A672" s="47" t="n">
        <v>671</v>
      </c>
      <c r="B672" s="39" t="s">
        <v>545</v>
      </c>
      <c r="C672" s="39" t="s">
        <v>1798</v>
      </c>
      <c r="D672" s="39" t="s">
        <v>2845</v>
      </c>
      <c r="E672" s="48" t="s">
        <v>1802</v>
      </c>
      <c r="F672" s="49" t="s">
        <v>2061</v>
      </c>
      <c r="G672" s="39" t="s">
        <v>2847</v>
      </c>
    </row>
    <row r="673" customFormat="false" ht="18" hidden="false" customHeight="true" outlineLevel="0" collapsed="false">
      <c r="A673" s="47" t="n">
        <v>672</v>
      </c>
      <c r="B673" s="39" t="s">
        <v>545</v>
      </c>
      <c r="C673" s="39" t="s">
        <v>1798</v>
      </c>
      <c r="D673" s="39" t="s">
        <v>2848</v>
      </c>
      <c r="E673" s="48" t="s">
        <v>1803</v>
      </c>
      <c r="F673" s="49" t="s">
        <v>3144</v>
      </c>
      <c r="G673" s="39" t="s">
        <v>2847</v>
      </c>
    </row>
    <row r="674" customFormat="false" ht="18" hidden="false" customHeight="true" outlineLevel="0" collapsed="false">
      <c r="A674" s="47" t="n">
        <v>673</v>
      </c>
      <c r="B674" s="39" t="s">
        <v>545</v>
      </c>
      <c r="C674" s="39" t="s">
        <v>1798</v>
      </c>
      <c r="D674" s="39" t="s">
        <v>2850</v>
      </c>
      <c r="E674" s="48" t="s">
        <v>1804</v>
      </c>
      <c r="F674" s="49" t="s">
        <v>3145</v>
      </c>
      <c r="G674" s="39" t="s">
        <v>2852</v>
      </c>
    </row>
    <row r="675" customFormat="false" ht="18" hidden="false" customHeight="true" outlineLevel="0" collapsed="false">
      <c r="A675" s="47" t="n">
        <v>674</v>
      </c>
      <c r="B675" s="39" t="s">
        <v>545</v>
      </c>
      <c r="C675" s="39" t="s">
        <v>1798</v>
      </c>
      <c r="D675" s="39" t="s">
        <v>109</v>
      </c>
      <c r="E675" s="48" t="s">
        <v>1110</v>
      </c>
      <c r="F675" s="49" t="s">
        <v>151</v>
      </c>
      <c r="G675" s="39" t="s">
        <v>2853</v>
      </c>
    </row>
    <row r="676" customFormat="false" ht="18" hidden="false" customHeight="true" outlineLevel="0" collapsed="false">
      <c r="A676" s="47" t="n">
        <v>675</v>
      </c>
      <c r="B676" s="39" t="s">
        <v>1805</v>
      </c>
      <c r="C676" s="39" t="s">
        <v>1806</v>
      </c>
      <c r="D676" s="39" t="s">
        <v>101</v>
      </c>
      <c r="E676" s="48" t="s">
        <v>1807</v>
      </c>
      <c r="F676" s="49" t="s">
        <v>875</v>
      </c>
      <c r="G676" s="39" t="s">
        <v>2843</v>
      </c>
    </row>
    <row r="677" customFormat="false" ht="18" hidden="false" customHeight="true" outlineLevel="0" collapsed="false">
      <c r="A677" s="47" t="n">
        <v>676</v>
      </c>
      <c r="B677" s="39" t="s">
        <v>1805</v>
      </c>
      <c r="C677" s="39" t="s">
        <v>1806</v>
      </c>
      <c r="D677" s="39" t="s">
        <v>2845</v>
      </c>
      <c r="E677" s="48" t="s">
        <v>1251</v>
      </c>
      <c r="F677" s="49" t="s">
        <v>2911</v>
      </c>
      <c r="G677" s="39" t="s">
        <v>2847</v>
      </c>
    </row>
    <row r="678" customFormat="false" ht="18" hidden="false" customHeight="true" outlineLevel="0" collapsed="false">
      <c r="A678" s="47" t="n">
        <v>677</v>
      </c>
      <c r="B678" s="39" t="s">
        <v>1805</v>
      </c>
      <c r="C678" s="39" t="s">
        <v>1806</v>
      </c>
      <c r="D678" s="39" t="s">
        <v>2848</v>
      </c>
      <c r="E678" s="48" t="s">
        <v>1252</v>
      </c>
      <c r="F678" s="49" t="s">
        <v>2912</v>
      </c>
      <c r="G678" s="39" t="s">
        <v>2847</v>
      </c>
    </row>
    <row r="679" customFormat="false" ht="18" hidden="false" customHeight="true" outlineLevel="0" collapsed="false">
      <c r="A679" s="47" t="n">
        <v>678</v>
      </c>
      <c r="B679" s="39" t="s">
        <v>1805</v>
      </c>
      <c r="C679" s="39" t="s">
        <v>1806</v>
      </c>
      <c r="D679" s="39" t="s">
        <v>2850</v>
      </c>
      <c r="E679" s="48" t="s">
        <v>1253</v>
      </c>
      <c r="F679" s="49" t="s">
        <v>2913</v>
      </c>
      <c r="G679" s="39" t="s">
        <v>2852</v>
      </c>
    </row>
    <row r="680" customFormat="false" ht="18" hidden="false" customHeight="true" outlineLevel="0" collapsed="false">
      <c r="A680" s="47" t="n">
        <v>679</v>
      </c>
      <c r="B680" s="39" t="s">
        <v>1805</v>
      </c>
      <c r="C680" s="39" t="s">
        <v>1806</v>
      </c>
      <c r="D680" s="39" t="s">
        <v>109</v>
      </c>
      <c r="E680" s="48" t="s">
        <v>1110</v>
      </c>
      <c r="F680" s="49" t="s">
        <v>151</v>
      </c>
      <c r="G680" s="39" t="s">
        <v>2853</v>
      </c>
    </row>
    <row r="681" customFormat="false" ht="18" hidden="false" customHeight="true" outlineLevel="0" collapsed="false">
      <c r="A681" s="47" t="n">
        <v>680</v>
      </c>
      <c r="B681" s="39" t="s">
        <v>392</v>
      </c>
      <c r="C681" s="39" t="s">
        <v>1808</v>
      </c>
      <c r="D681" s="39" t="s">
        <v>101</v>
      </c>
      <c r="E681" s="48" t="s">
        <v>1810</v>
      </c>
      <c r="F681" s="49" t="s">
        <v>391</v>
      </c>
      <c r="G681" s="39" t="s">
        <v>2843</v>
      </c>
    </row>
    <row r="682" customFormat="false" ht="18" hidden="false" customHeight="true" outlineLevel="0" collapsed="false">
      <c r="A682" s="47" t="n">
        <v>681</v>
      </c>
      <c r="B682" s="39" t="s">
        <v>392</v>
      </c>
      <c r="C682" s="39" t="s">
        <v>1808</v>
      </c>
      <c r="D682" s="39" t="s">
        <v>102</v>
      </c>
      <c r="E682" s="48" t="s">
        <v>1172</v>
      </c>
      <c r="F682" s="49" t="s">
        <v>128</v>
      </c>
      <c r="G682" s="39" t="s">
        <v>2844</v>
      </c>
    </row>
    <row r="683" customFormat="false" ht="18" hidden="false" customHeight="true" outlineLevel="0" collapsed="false">
      <c r="A683" s="47" t="n">
        <v>682</v>
      </c>
      <c r="B683" s="39" t="s">
        <v>392</v>
      </c>
      <c r="C683" s="39" t="s">
        <v>1808</v>
      </c>
      <c r="D683" s="39" t="s">
        <v>2845</v>
      </c>
      <c r="E683" s="48" t="s">
        <v>1511</v>
      </c>
      <c r="F683" s="49" t="s">
        <v>3024</v>
      </c>
      <c r="G683" s="39" t="s">
        <v>2847</v>
      </c>
    </row>
    <row r="684" customFormat="false" ht="18" hidden="false" customHeight="true" outlineLevel="0" collapsed="false">
      <c r="A684" s="47" t="n">
        <v>683</v>
      </c>
      <c r="B684" s="39" t="s">
        <v>392</v>
      </c>
      <c r="C684" s="39" t="s">
        <v>1808</v>
      </c>
      <c r="D684" s="39" t="s">
        <v>2848</v>
      </c>
      <c r="E684" s="48" t="s">
        <v>1511</v>
      </c>
      <c r="F684" s="49" t="s">
        <v>3024</v>
      </c>
      <c r="G684" s="39" t="s">
        <v>2847</v>
      </c>
    </row>
    <row r="685" customFormat="false" ht="18" hidden="false" customHeight="true" outlineLevel="0" collapsed="false">
      <c r="A685" s="47" t="n">
        <v>684</v>
      </c>
      <c r="B685" s="39" t="s">
        <v>392</v>
      </c>
      <c r="C685" s="39" t="s">
        <v>1808</v>
      </c>
      <c r="D685" s="39" t="s">
        <v>2850</v>
      </c>
      <c r="E685" s="48" t="s">
        <v>1811</v>
      </c>
      <c r="F685" s="49" t="s">
        <v>3146</v>
      </c>
      <c r="G685" s="39" t="s">
        <v>2852</v>
      </c>
    </row>
    <row r="686" customFormat="false" ht="18" hidden="false" customHeight="true" outlineLevel="0" collapsed="false">
      <c r="A686" s="47" t="n">
        <v>685</v>
      </c>
      <c r="B686" s="39" t="s">
        <v>392</v>
      </c>
      <c r="C686" s="39" t="s">
        <v>1808</v>
      </c>
      <c r="D686" s="39" t="s">
        <v>109</v>
      </c>
      <c r="E686" s="48" t="s">
        <v>1110</v>
      </c>
      <c r="F686" s="49" t="s">
        <v>151</v>
      </c>
      <c r="G686" s="39" t="s">
        <v>2853</v>
      </c>
    </row>
    <row r="687" customFormat="false" ht="18" hidden="false" customHeight="true" outlineLevel="0" collapsed="false">
      <c r="A687" s="47" t="n">
        <v>686</v>
      </c>
      <c r="B687" s="39" t="s">
        <v>280</v>
      </c>
      <c r="C687" s="39" t="s">
        <v>1812</v>
      </c>
      <c r="D687" s="39" t="s">
        <v>101</v>
      </c>
      <c r="E687" s="48" t="s">
        <v>1814</v>
      </c>
      <c r="F687" s="49" t="s">
        <v>279</v>
      </c>
      <c r="G687" s="39" t="s">
        <v>2843</v>
      </c>
    </row>
    <row r="688" customFormat="false" ht="18" hidden="false" customHeight="true" outlineLevel="0" collapsed="false">
      <c r="A688" s="47" t="n">
        <v>687</v>
      </c>
      <c r="B688" s="39" t="s">
        <v>280</v>
      </c>
      <c r="C688" s="39" t="s">
        <v>1812</v>
      </c>
      <c r="D688" s="39" t="s">
        <v>102</v>
      </c>
      <c r="E688" s="48" t="s">
        <v>1235</v>
      </c>
      <c r="F688" s="49" t="s">
        <v>120</v>
      </c>
      <c r="G688" s="39" t="s">
        <v>2844</v>
      </c>
    </row>
    <row r="689" customFormat="false" ht="18" hidden="false" customHeight="true" outlineLevel="0" collapsed="false">
      <c r="A689" s="47" t="n">
        <v>688</v>
      </c>
      <c r="B689" s="39" t="s">
        <v>280</v>
      </c>
      <c r="C689" s="39" t="s">
        <v>1812</v>
      </c>
      <c r="D689" s="39" t="s">
        <v>77</v>
      </c>
      <c r="E689" s="48" t="s">
        <v>3147</v>
      </c>
      <c r="F689" s="49" t="s">
        <v>80</v>
      </c>
      <c r="G689" s="39" t="s">
        <v>3148</v>
      </c>
    </row>
    <row r="690" customFormat="false" ht="18" hidden="false" customHeight="true" outlineLevel="0" collapsed="false">
      <c r="A690" s="47" t="n">
        <v>689</v>
      </c>
      <c r="B690" s="39" t="s">
        <v>280</v>
      </c>
      <c r="C690" s="39" t="s">
        <v>1812</v>
      </c>
      <c r="D690" s="39" t="s">
        <v>2845</v>
      </c>
      <c r="E690" s="48" t="s">
        <v>1815</v>
      </c>
      <c r="F690" s="49" t="s">
        <v>2857</v>
      </c>
      <c r="G690" s="39" t="s">
        <v>2847</v>
      </c>
    </row>
    <row r="691" customFormat="false" ht="18" hidden="false" customHeight="true" outlineLevel="0" collapsed="false">
      <c r="A691" s="47" t="n">
        <v>690</v>
      </c>
      <c r="B691" s="39" t="s">
        <v>280</v>
      </c>
      <c r="C691" s="39" t="s">
        <v>1812</v>
      </c>
      <c r="D691" s="39" t="s">
        <v>2848</v>
      </c>
      <c r="E691" s="48" t="s">
        <v>1816</v>
      </c>
      <c r="F691" s="49" t="s">
        <v>3149</v>
      </c>
      <c r="G691" s="39" t="s">
        <v>2847</v>
      </c>
    </row>
    <row r="692" customFormat="false" ht="18" hidden="false" customHeight="true" outlineLevel="0" collapsed="false">
      <c r="A692" s="47" t="n">
        <v>691</v>
      </c>
      <c r="B692" s="39" t="s">
        <v>280</v>
      </c>
      <c r="C692" s="39" t="s">
        <v>1812</v>
      </c>
      <c r="D692" s="39" t="s">
        <v>106</v>
      </c>
      <c r="E692" s="48" t="s">
        <v>1817</v>
      </c>
      <c r="F692" s="49" t="s">
        <v>1381</v>
      </c>
      <c r="G692" s="39" t="s">
        <v>3150</v>
      </c>
    </row>
    <row r="693" customFormat="false" ht="18" hidden="false" customHeight="true" outlineLevel="0" collapsed="false">
      <c r="A693" s="47" t="n">
        <v>692</v>
      </c>
      <c r="B693" s="39" t="s">
        <v>280</v>
      </c>
      <c r="C693" s="39" t="s">
        <v>1812</v>
      </c>
      <c r="D693" s="39" t="s">
        <v>2850</v>
      </c>
      <c r="E693" s="48" t="s">
        <v>1818</v>
      </c>
      <c r="F693" s="49" t="s">
        <v>3151</v>
      </c>
      <c r="G693" s="39" t="s">
        <v>2852</v>
      </c>
    </row>
    <row r="694" customFormat="false" ht="18" hidden="false" customHeight="true" outlineLevel="0" collapsed="false">
      <c r="A694" s="47" t="n">
        <v>693</v>
      </c>
      <c r="B694" s="39" t="s">
        <v>280</v>
      </c>
      <c r="C694" s="39" t="s">
        <v>1812</v>
      </c>
      <c r="D694" s="39" t="s">
        <v>109</v>
      </c>
      <c r="E694" s="48" t="s">
        <v>1819</v>
      </c>
      <c r="F694" s="49" t="s">
        <v>130</v>
      </c>
      <c r="G694" s="39" t="s">
        <v>2853</v>
      </c>
    </row>
    <row r="695" customFormat="false" ht="18" hidden="false" customHeight="true" outlineLevel="0" collapsed="false">
      <c r="A695" s="47" t="n">
        <v>694</v>
      </c>
      <c r="B695" s="39" t="s">
        <v>1820</v>
      </c>
      <c r="C695" s="39" t="s">
        <v>1821</v>
      </c>
      <c r="D695" s="39" t="s">
        <v>101</v>
      </c>
      <c r="E695" s="48" t="s">
        <v>1823</v>
      </c>
      <c r="F695" s="49" t="s">
        <v>1040</v>
      </c>
      <c r="G695" s="39" t="s">
        <v>2843</v>
      </c>
    </row>
    <row r="696" customFormat="false" ht="18" hidden="false" customHeight="true" outlineLevel="0" collapsed="false">
      <c r="A696" s="47" t="n">
        <v>695</v>
      </c>
      <c r="B696" s="39" t="s">
        <v>1820</v>
      </c>
      <c r="C696" s="39" t="s">
        <v>1821</v>
      </c>
      <c r="D696" s="39" t="s">
        <v>102</v>
      </c>
      <c r="E696" s="48" t="s">
        <v>1824</v>
      </c>
      <c r="F696" s="49" t="s">
        <v>128</v>
      </c>
      <c r="G696" s="39" t="s">
        <v>2844</v>
      </c>
    </row>
    <row r="697" customFormat="false" ht="18" hidden="false" customHeight="true" outlineLevel="0" collapsed="false">
      <c r="A697" s="47" t="n">
        <v>696</v>
      </c>
      <c r="B697" s="39" t="s">
        <v>1820</v>
      </c>
      <c r="C697" s="39" t="s">
        <v>1821</v>
      </c>
      <c r="D697" s="39" t="s">
        <v>2845</v>
      </c>
      <c r="E697" s="48" t="s">
        <v>1825</v>
      </c>
      <c r="F697" s="49" t="s">
        <v>3152</v>
      </c>
      <c r="G697" s="39" t="s">
        <v>2847</v>
      </c>
    </row>
    <row r="698" customFormat="false" ht="18" hidden="false" customHeight="true" outlineLevel="0" collapsed="false">
      <c r="A698" s="47" t="n">
        <v>697</v>
      </c>
      <c r="B698" s="39" t="s">
        <v>1828</v>
      </c>
      <c r="C698" s="39" t="s">
        <v>1829</v>
      </c>
      <c r="D698" s="39" t="s">
        <v>101</v>
      </c>
      <c r="E698" s="48" t="s">
        <v>1831</v>
      </c>
      <c r="F698" s="49" t="s">
        <v>555</v>
      </c>
      <c r="G698" s="39" t="s">
        <v>2843</v>
      </c>
    </row>
    <row r="699" customFormat="false" ht="18" hidden="false" customHeight="true" outlineLevel="0" collapsed="false">
      <c r="A699" s="47" t="n">
        <v>698</v>
      </c>
      <c r="B699" s="39" t="s">
        <v>1828</v>
      </c>
      <c r="C699" s="39" t="s">
        <v>1829</v>
      </c>
      <c r="D699" s="39" t="s">
        <v>77</v>
      </c>
      <c r="E699" s="48" t="s">
        <v>1137</v>
      </c>
      <c r="F699" s="49" t="s">
        <v>79</v>
      </c>
      <c r="G699" s="39" t="s">
        <v>2863</v>
      </c>
    </row>
    <row r="700" customFormat="false" ht="18" hidden="false" customHeight="true" outlineLevel="0" collapsed="false">
      <c r="A700" s="47" t="n">
        <v>699</v>
      </c>
      <c r="B700" s="39" t="s">
        <v>1828</v>
      </c>
      <c r="C700" s="39" t="s">
        <v>1829</v>
      </c>
      <c r="D700" s="39" t="s">
        <v>2845</v>
      </c>
      <c r="E700" s="48" t="s">
        <v>1832</v>
      </c>
      <c r="F700" s="49" t="s">
        <v>3153</v>
      </c>
      <c r="G700" s="39" t="s">
        <v>2847</v>
      </c>
    </row>
    <row r="701" customFormat="false" ht="18" hidden="false" customHeight="true" outlineLevel="0" collapsed="false">
      <c r="A701" s="47" t="n">
        <v>700</v>
      </c>
      <c r="B701" s="39" t="s">
        <v>1828</v>
      </c>
      <c r="C701" s="39" t="s">
        <v>1829</v>
      </c>
      <c r="D701" s="39" t="s">
        <v>2848</v>
      </c>
      <c r="E701" s="48" t="s">
        <v>1833</v>
      </c>
      <c r="F701" s="49" t="s">
        <v>3025</v>
      </c>
      <c r="G701" s="39" t="s">
        <v>2847</v>
      </c>
    </row>
    <row r="702" customFormat="false" ht="18" hidden="false" customHeight="true" outlineLevel="0" collapsed="false">
      <c r="A702" s="47" t="n">
        <v>701</v>
      </c>
      <c r="B702" s="39" t="s">
        <v>1828</v>
      </c>
      <c r="C702" s="39" t="s">
        <v>1829</v>
      </c>
      <c r="D702" s="39" t="s">
        <v>106</v>
      </c>
      <c r="E702" s="48" t="s">
        <v>1834</v>
      </c>
      <c r="F702" s="49" t="s">
        <v>1678</v>
      </c>
      <c r="G702" s="39" t="s">
        <v>3150</v>
      </c>
    </row>
    <row r="703" customFormat="false" ht="18" hidden="false" customHeight="true" outlineLevel="0" collapsed="false">
      <c r="A703" s="47" t="n">
        <v>702</v>
      </c>
      <c r="B703" s="39" t="s">
        <v>1828</v>
      </c>
      <c r="C703" s="39" t="s">
        <v>1829</v>
      </c>
      <c r="D703" s="39" t="s">
        <v>2850</v>
      </c>
      <c r="E703" s="48" t="s">
        <v>1835</v>
      </c>
      <c r="F703" s="49" t="s">
        <v>3154</v>
      </c>
      <c r="G703" s="39" t="s">
        <v>2852</v>
      </c>
    </row>
    <row r="704" customFormat="false" ht="18" hidden="false" customHeight="true" outlineLevel="0" collapsed="false">
      <c r="A704" s="47" t="n">
        <v>703</v>
      </c>
      <c r="B704" s="39" t="s">
        <v>1828</v>
      </c>
      <c r="C704" s="39" t="s">
        <v>1829</v>
      </c>
      <c r="D704" s="39" t="s">
        <v>109</v>
      </c>
      <c r="E704" s="48" t="s">
        <v>1836</v>
      </c>
      <c r="F704" s="49" t="s">
        <v>151</v>
      </c>
      <c r="G704" s="39" t="s">
        <v>2853</v>
      </c>
    </row>
    <row r="705" customFormat="false" ht="18" hidden="false" customHeight="true" outlineLevel="0" collapsed="false">
      <c r="A705" s="47" t="n">
        <v>704</v>
      </c>
      <c r="B705" s="39" t="s">
        <v>1006</v>
      </c>
      <c r="C705" s="39" t="s">
        <v>1837</v>
      </c>
      <c r="D705" s="39" t="s">
        <v>2840</v>
      </c>
      <c r="E705" s="48" t="s">
        <v>1838</v>
      </c>
      <c r="F705" s="49" t="s">
        <v>3155</v>
      </c>
      <c r="G705" s="39" t="s">
        <v>2898</v>
      </c>
    </row>
    <row r="706" customFormat="false" ht="18" hidden="false" customHeight="true" outlineLevel="0" collapsed="false">
      <c r="A706" s="47" t="n">
        <v>705</v>
      </c>
      <c r="B706" s="39" t="s">
        <v>1006</v>
      </c>
      <c r="C706" s="39" t="s">
        <v>1837</v>
      </c>
      <c r="D706" s="39" t="s">
        <v>100</v>
      </c>
      <c r="E706" s="48" t="s">
        <v>1839</v>
      </c>
      <c r="F706" s="49" t="s">
        <v>1004</v>
      </c>
      <c r="G706" s="39" t="s">
        <v>2870</v>
      </c>
    </row>
    <row r="707" customFormat="false" ht="18" hidden="false" customHeight="true" outlineLevel="0" collapsed="false">
      <c r="A707" s="47" t="n">
        <v>706</v>
      </c>
      <c r="B707" s="39" t="s">
        <v>1006</v>
      </c>
      <c r="C707" s="39" t="s">
        <v>1837</v>
      </c>
      <c r="D707" s="39" t="s">
        <v>101</v>
      </c>
      <c r="E707" s="48" t="s">
        <v>1840</v>
      </c>
      <c r="F707" s="49" t="s">
        <v>1005</v>
      </c>
      <c r="G707" s="39" t="s">
        <v>2843</v>
      </c>
    </row>
    <row r="708" customFormat="false" ht="18" hidden="false" customHeight="true" outlineLevel="0" collapsed="false">
      <c r="A708" s="47" t="n">
        <v>707</v>
      </c>
      <c r="B708" s="39" t="s">
        <v>1006</v>
      </c>
      <c r="C708" s="39" t="s">
        <v>1837</v>
      </c>
      <c r="D708" s="39" t="s">
        <v>102</v>
      </c>
      <c r="E708" s="48" t="s">
        <v>1194</v>
      </c>
      <c r="F708" s="49" t="s">
        <v>128</v>
      </c>
      <c r="G708" s="39" t="s">
        <v>2844</v>
      </c>
    </row>
    <row r="709" customFormat="false" ht="18" hidden="false" customHeight="true" outlineLevel="0" collapsed="false">
      <c r="A709" s="47" t="n">
        <v>708</v>
      </c>
      <c r="B709" s="39" t="s">
        <v>1006</v>
      </c>
      <c r="C709" s="39" t="s">
        <v>1837</v>
      </c>
      <c r="D709" s="39" t="s">
        <v>77</v>
      </c>
      <c r="E709" s="48" t="s">
        <v>3147</v>
      </c>
      <c r="F709" s="49" t="s">
        <v>79</v>
      </c>
      <c r="G709" s="39" t="s">
        <v>3148</v>
      </c>
    </row>
    <row r="710" customFormat="false" ht="18" hidden="false" customHeight="true" outlineLevel="0" collapsed="false">
      <c r="A710" s="47" t="n">
        <v>709</v>
      </c>
      <c r="B710" s="39" t="s">
        <v>1006</v>
      </c>
      <c r="C710" s="39" t="s">
        <v>1837</v>
      </c>
      <c r="D710" s="39" t="s">
        <v>2848</v>
      </c>
      <c r="E710" s="48" t="s">
        <v>1842</v>
      </c>
      <c r="F710" s="49" t="s">
        <v>1841</v>
      </c>
      <c r="G710" s="39" t="s">
        <v>2847</v>
      </c>
    </row>
    <row r="711" customFormat="false" ht="18" hidden="false" customHeight="true" outlineLevel="0" collapsed="false">
      <c r="A711" s="47" t="n">
        <v>710</v>
      </c>
      <c r="B711" s="39" t="s">
        <v>1006</v>
      </c>
      <c r="C711" s="39" t="s">
        <v>1837</v>
      </c>
      <c r="D711" s="39" t="s">
        <v>2850</v>
      </c>
      <c r="E711" s="48" t="s">
        <v>1843</v>
      </c>
      <c r="F711" s="49" t="s">
        <v>3156</v>
      </c>
      <c r="G711" s="39" t="s">
        <v>2852</v>
      </c>
    </row>
    <row r="712" customFormat="false" ht="18" hidden="false" customHeight="true" outlineLevel="0" collapsed="false">
      <c r="A712" s="47" t="n">
        <v>711</v>
      </c>
      <c r="B712" s="39" t="s">
        <v>1006</v>
      </c>
      <c r="C712" s="39" t="s">
        <v>1837</v>
      </c>
      <c r="D712" s="39" t="s">
        <v>109</v>
      </c>
      <c r="E712" s="48" t="s">
        <v>1836</v>
      </c>
      <c r="F712" s="49" t="s">
        <v>151</v>
      </c>
      <c r="G712" s="39" t="s">
        <v>2853</v>
      </c>
    </row>
    <row r="713" customFormat="false" ht="18" hidden="false" customHeight="true" outlineLevel="0" collapsed="false">
      <c r="A713" s="47" t="n">
        <v>712</v>
      </c>
      <c r="B713" s="39" t="s">
        <v>346</v>
      </c>
      <c r="C713" s="39" t="s">
        <v>1844</v>
      </c>
      <c r="D713" s="39" t="s">
        <v>101</v>
      </c>
      <c r="E713" s="48" t="s">
        <v>1846</v>
      </c>
      <c r="F713" s="49" t="s">
        <v>345</v>
      </c>
      <c r="G713" s="39" t="s">
        <v>2843</v>
      </c>
    </row>
    <row r="714" customFormat="false" ht="18" hidden="false" customHeight="true" outlineLevel="0" collapsed="false">
      <c r="A714" s="47" t="n">
        <v>713</v>
      </c>
      <c r="B714" s="39" t="s">
        <v>346</v>
      </c>
      <c r="C714" s="39" t="s">
        <v>1844</v>
      </c>
      <c r="D714" s="39" t="s">
        <v>102</v>
      </c>
      <c r="E714" s="48" t="s">
        <v>1179</v>
      </c>
      <c r="F714" s="49" t="s">
        <v>150</v>
      </c>
      <c r="G714" s="39" t="s">
        <v>2844</v>
      </c>
    </row>
    <row r="715" customFormat="false" ht="18" hidden="false" customHeight="true" outlineLevel="0" collapsed="false">
      <c r="A715" s="47" t="n">
        <v>714</v>
      </c>
      <c r="B715" s="39" t="s">
        <v>346</v>
      </c>
      <c r="C715" s="39" t="s">
        <v>1844</v>
      </c>
      <c r="D715" s="39" t="s">
        <v>106</v>
      </c>
      <c r="E715" s="48" t="s">
        <v>1849</v>
      </c>
      <c r="F715" s="49" t="s">
        <v>1149</v>
      </c>
      <c r="G715" s="39" t="s">
        <v>3150</v>
      </c>
    </row>
    <row r="716" customFormat="false" ht="18" hidden="false" customHeight="true" outlineLevel="0" collapsed="false">
      <c r="A716" s="47" t="n">
        <v>715</v>
      </c>
      <c r="B716" s="39" t="s">
        <v>346</v>
      </c>
      <c r="C716" s="39" t="s">
        <v>1844</v>
      </c>
      <c r="D716" s="39" t="s">
        <v>2850</v>
      </c>
      <c r="E716" s="48" t="s">
        <v>1850</v>
      </c>
      <c r="F716" s="49" t="s">
        <v>3157</v>
      </c>
      <c r="G716" s="39" t="s">
        <v>2852</v>
      </c>
    </row>
    <row r="717" customFormat="false" ht="18" hidden="false" customHeight="true" outlineLevel="0" collapsed="false">
      <c r="A717" s="47" t="n">
        <v>716</v>
      </c>
      <c r="B717" s="39" t="s">
        <v>346</v>
      </c>
      <c r="C717" s="39" t="s">
        <v>1844</v>
      </c>
      <c r="D717" s="39" t="s">
        <v>109</v>
      </c>
      <c r="E717" s="48" t="s">
        <v>1851</v>
      </c>
      <c r="F717" s="49" t="s">
        <v>151</v>
      </c>
      <c r="G717" s="39" t="s">
        <v>2853</v>
      </c>
    </row>
    <row r="718" customFormat="false" ht="18" hidden="false" customHeight="true" outlineLevel="0" collapsed="false">
      <c r="A718" s="47" t="n">
        <v>717</v>
      </c>
      <c r="B718" s="39" t="s">
        <v>1852</v>
      </c>
      <c r="C718" s="39" t="s">
        <v>1853</v>
      </c>
      <c r="D718" s="39" t="s">
        <v>2840</v>
      </c>
      <c r="E718" s="48" t="s">
        <v>1854</v>
      </c>
      <c r="F718" s="49" t="s">
        <v>2592</v>
      </c>
      <c r="G718" s="39" t="s">
        <v>2898</v>
      </c>
    </row>
    <row r="719" customFormat="false" ht="18" hidden="false" customHeight="true" outlineLevel="0" collapsed="false">
      <c r="A719" s="47" t="n">
        <v>718</v>
      </c>
      <c r="B719" s="39" t="s">
        <v>1852</v>
      </c>
      <c r="C719" s="39" t="s">
        <v>1853</v>
      </c>
      <c r="D719" s="39" t="s">
        <v>101</v>
      </c>
      <c r="E719" s="48" t="s">
        <v>1855</v>
      </c>
      <c r="F719" s="49" t="s">
        <v>473</v>
      </c>
      <c r="G719" s="39" t="s">
        <v>2843</v>
      </c>
    </row>
    <row r="720" customFormat="false" ht="18" hidden="false" customHeight="true" outlineLevel="0" collapsed="false">
      <c r="A720" s="47" t="n">
        <v>719</v>
      </c>
      <c r="B720" s="39" t="s">
        <v>1852</v>
      </c>
      <c r="C720" s="39" t="s">
        <v>1853</v>
      </c>
      <c r="D720" s="39" t="s">
        <v>2848</v>
      </c>
      <c r="E720" s="48" t="s">
        <v>1857</v>
      </c>
      <c r="F720" s="49" t="s">
        <v>3158</v>
      </c>
      <c r="G720" s="39" t="s">
        <v>2847</v>
      </c>
    </row>
    <row r="721" customFormat="false" ht="18" hidden="false" customHeight="true" outlineLevel="0" collapsed="false">
      <c r="A721" s="47" t="n">
        <v>720</v>
      </c>
      <c r="B721" s="39" t="s">
        <v>1852</v>
      </c>
      <c r="C721" s="39" t="s">
        <v>1853</v>
      </c>
      <c r="D721" s="39" t="s">
        <v>2850</v>
      </c>
      <c r="E721" s="48" t="s">
        <v>1858</v>
      </c>
      <c r="F721" s="49" t="s">
        <v>3009</v>
      </c>
      <c r="G721" s="39" t="s">
        <v>2852</v>
      </c>
    </row>
    <row r="722" customFormat="false" ht="18" hidden="false" customHeight="true" outlineLevel="0" collapsed="false">
      <c r="A722" s="47" t="n">
        <v>721</v>
      </c>
      <c r="B722" s="39" t="s">
        <v>1852</v>
      </c>
      <c r="C722" s="39" t="s">
        <v>1853</v>
      </c>
      <c r="D722" s="39" t="s">
        <v>109</v>
      </c>
      <c r="E722" s="48" t="s">
        <v>1819</v>
      </c>
      <c r="F722" s="49" t="s">
        <v>130</v>
      </c>
      <c r="G722" s="39" t="s">
        <v>2853</v>
      </c>
    </row>
    <row r="723" customFormat="false" ht="18" hidden="false" customHeight="true" outlineLevel="0" collapsed="false">
      <c r="A723" s="47" t="n">
        <v>722</v>
      </c>
      <c r="B723" s="39" t="s">
        <v>1859</v>
      </c>
      <c r="C723" s="39" t="s">
        <v>1860</v>
      </c>
      <c r="D723" s="39" t="s">
        <v>101</v>
      </c>
      <c r="E723" s="48" t="s">
        <v>1862</v>
      </c>
      <c r="F723" s="49" t="s">
        <v>586</v>
      </c>
      <c r="G723" s="39" t="s">
        <v>2843</v>
      </c>
    </row>
    <row r="724" customFormat="false" ht="18" hidden="false" customHeight="true" outlineLevel="0" collapsed="false">
      <c r="A724" s="47" t="n">
        <v>723</v>
      </c>
      <c r="B724" s="39" t="s">
        <v>1859</v>
      </c>
      <c r="C724" s="39" t="s">
        <v>1860</v>
      </c>
      <c r="D724" s="39" t="s">
        <v>102</v>
      </c>
      <c r="E724" s="48" t="s">
        <v>1863</v>
      </c>
      <c r="F724" s="49" t="s">
        <v>257</v>
      </c>
      <c r="G724" s="39" t="s">
        <v>2844</v>
      </c>
    </row>
    <row r="725" customFormat="false" ht="18" hidden="false" customHeight="true" outlineLevel="0" collapsed="false">
      <c r="A725" s="47" t="n">
        <v>724</v>
      </c>
      <c r="B725" s="39" t="s">
        <v>1859</v>
      </c>
      <c r="C725" s="39" t="s">
        <v>1860</v>
      </c>
      <c r="D725" s="39" t="s">
        <v>2845</v>
      </c>
      <c r="E725" s="48" t="s">
        <v>1864</v>
      </c>
      <c r="F725" s="49" t="s">
        <v>3159</v>
      </c>
      <c r="G725" s="39" t="s">
        <v>2847</v>
      </c>
    </row>
    <row r="726" customFormat="false" ht="18" hidden="false" customHeight="true" outlineLevel="0" collapsed="false">
      <c r="A726" s="47" t="n">
        <v>725</v>
      </c>
      <c r="B726" s="39" t="s">
        <v>1859</v>
      </c>
      <c r="C726" s="39" t="s">
        <v>1860</v>
      </c>
      <c r="D726" s="39" t="s">
        <v>106</v>
      </c>
      <c r="E726" s="48" t="s">
        <v>1849</v>
      </c>
      <c r="F726" s="49" t="s">
        <v>1149</v>
      </c>
      <c r="G726" s="39" t="s">
        <v>3150</v>
      </c>
    </row>
    <row r="727" customFormat="false" ht="18" hidden="false" customHeight="true" outlineLevel="0" collapsed="false">
      <c r="A727" s="47" t="n">
        <v>726</v>
      </c>
      <c r="B727" s="39" t="s">
        <v>1859</v>
      </c>
      <c r="C727" s="39" t="s">
        <v>1860</v>
      </c>
      <c r="D727" s="39" t="s">
        <v>2850</v>
      </c>
      <c r="E727" s="48" t="s">
        <v>1866</v>
      </c>
      <c r="F727" s="49" t="s">
        <v>3160</v>
      </c>
      <c r="G727" s="39" t="s">
        <v>2852</v>
      </c>
    </row>
    <row r="728" customFormat="false" ht="18" hidden="false" customHeight="true" outlineLevel="0" collapsed="false">
      <c r="A728" s="47" t="n">
        <v>727</v>
      </c>
      <c r="B728" s="39" t="s">
        <v>1859</v>
      </c>
      <c r="C728" s="39" t="s">
        <v>1860</v>
      </c>
      <c r="D728" s="39" t="s">
        <v>109</v>
      </c>
      <c r="E728" s="48" t="s">
        <v>1836</v>
      </c>
      <c r="F728" s="49" t="s">
        <v>151</v>
      </c>
      <c r="G728" s="39" t="s">
        <v>2853</v>
      </c>
    </row>
    <row r="729" customFormat="false" ht="18" hidden="false" customHeight="true" outlineLevel="0" collapsed="false">
      <c r="A729" s="47" t="n">
        <v>728</v>
      </c>
      <c r="B729" s="39" t="s">
        <v>754</v>
      </c>
      <c r="C729" s="39" t="s">
        <v>1867</v>
      </c>
      <c r="D729" s="39" t="s">
        <v>101</v>
      </c>
      <c r="E729" s="48" t="s">
        <v>1869</v>
      </c>
      <c r="F729" s="49" t="s">
        <v>753</v>
      </c>
      <c r="G729" s="39" t="s">
        <v>2843</v>
      </c>
    </row>
    <row r="730" customFormat="false" ht="18" hidden="false" customHeight="true" outlineLevel="0" collapsed="false">
      <c r="A730" s="47" t="n">
        <v>729</v>
      </c>
      <c r="B730" s="39" t="s">
        <v>754</v>
      </c>
      <c r="C730" s="39" t="s">
        <v>1867</v>
      </c>
      <c r="D730" s="39" t="s">
        <v>102</v>
      </c>
      <c r="E730" s="48" t="s">
        <v>1564</v>
      </c>
      <c r="F730" s="49" t="s">
        <v>120</v>
      </c>
      <c r="G730" s="39" t="s">
        <v>2844</v>
      </c>
    </row>
    <row r="731" customFormat="false" ht="18" hidden="false" customHeight="true" outlineLevel="0" collapsed="false">
      <c r="A731" s="47" t="n">
        <v>730</v>
      </c>
      <c r="B731" s="39" t="s">
        <v>754</v>
      </c>
      <c r="C731" s="39" t="s">
        <v>1867</v>
      </c>
      <c r="D731" s="39" t="s">
        <v>77</v>
      </c>
      <c r="E731" s="48" t="s">
        <v>1236</v>
      </c>
      <c r="F731" s="49" t="s">
        <v>80</v>
      </c>
      <c r="G731" s="39" t="s">
        <v>2863</v>
      </c>
    </row>
    <row r="732" customFormat="false" ht="18" hidden="false" customHeight="true" outlineLevel="0" collapsed="false">
      <c r="A732" s="47" t="n">
        <v>731</v>
      </c>
      <c r="B732" s="39" t="s">
        <v>754</v>
      </c>
      <c r="C732" s="39" t="s">
        <v>1867</v>
      </c>
      <c r="D732" s="39" t="s">
        <v>2848</v>
      </c>
      <c r="E732" s="48" t="s">
        <v>1871</v>
      </c>
      <c r="F732" s="49" t="s">
        <v>3161</v>
      </c>
      <c r="G732" s="39" t="s">
        <v>2847</v>
      </c>
    </row>
    <row r="733" customFormat="false" ht="18" hidden="false" customHeight="true" outlineLevel="0" collapsed="false">
      <c r="A733" s="47" t="n">
        <v>732</v>
      </c>
      <c r="B733" s="39" t="s">
        <v>754</v>
      </c>
      <c r="C733" s="39" t="s">
        <v>1867</v>
      </c>
      <c r="D733" s="39" t="s">
        <v>2850</v>
      </c>
      <c r="E733" s="48" t="s">
        <v>1872</v>
      </c>
      <c r="F733" s="49" t="s">
        <v>3162</v>
      </c>
      <c r="G733" s="39" t="s">
        <v>2852</v>
      </c>
    </row>
    <row r="734" customFormat="false" ht="18" hidden="false" customHeight="true" outlineLevel="0" collapsed="false">
      <c r="A734" s="47" t="n">
        <v>733</v>
      </c>
      <c r="B734" s="39" t="s">
        <v>258</v>
      </c>
      <c r="C734" s="39" t="s">
        <v>1873</v>
      </c>
      <c r="D734" s="39" t="s">
        <v>2840</v>
      </c>
      <c r="E734" s="48" t="s">
        <v>1874</v>
      </c>
      <c r="F734" s="49" t="s">
        <v>3163</v>
      </c>
      <c r="G734" s="39" t="s">
        <v>2898</v>
      </c>
    </row>
    <row r="735" customFormat="false" ht="18" hidden="false" customHeight="true" outlineLevel="0" collapsed="false">
      <c r="A735" s="47" t="n">
        <v>734</v>
      </c>
      <c r="B735" s="39" t="s">
        <v>258</v>
      </c>
      <c r="C735" s="39" t="s">
        <v>1873</v>
      </c>
      <c r="D735" s="39" t="s">
        <v>100</v>
      </c>
      <c r="E735" s="48" t="s">
        <v>1875</v>
      </c>
      <c r="F735" s="49" t="s">
        <v>255</v>
      </c>
      <c r="G735" s="39" t="s">
        <v>2878</v>
      </c>
    </row>
    <row r="736" customFormat="false" ht="18" hidden="false" customHeight="true" outlineLevel="0" collapsed="false">
      <c r="A736" s="47" t="n">
        <v>735</v>
      </c>
      <c r="B736" s="39" t="s">
        <v>258</v>
      </c>
      <c r="C736" s="39" t="s">
        <v>1873</v>
      </c>
      <c r="D736" s="39" t="s">
        <v>101</v>
      </c>
      <c r="E736" s="48" t="s">
        <v>1876</v>
      </c>
      <c r="F736" s="49" t="s">
        <v>256</v>
      </c>
      <c r="G736" s="39" t="s">
        <v>2843</v>
      </c>
    </row>
    <row r="737" customFormat="false" ht="18" hidden="false" customHeight="true" outlineLevel="0" collapsed="false">
      <c r="A737" s="47" t="n">
        <v>736</v>
      </c>
      <c r="B737" s="39" t="s">
        <v>258</v>
      </c>
      <c r="C737" s="39" t="s">
        <v>1873</v>
      </c>
      <c r="D737" s="39" t="s">
        <v>2845</v>
      </c>
      <c r="E737" s="48" t="s">
        <v>1877</v>
      </c>
      <c r="F737" s="49" t="s">
        <v>3164</v>
      </c>
      <c r="G737" s="39" t="s">
        <v>2847</v>
      </c>
    </row>
    <row r="738" customFormat="false" ht="18" hidden="false" customHeight="true" outlineLevel="0" collapsed="false">
      <c r="A738" s="47" t="n">
        <v>737</v>
      </c>
      <c r="B738" s="39" t="s">
        <v>258</v>
      </c>
      <c r="C738" s="39" t="s">
        <v>1873</v>
      </c>
      <c r="D738" s="39" t="s">
        <v>106</v>
      </c>
      <c r="E738" s="48" t="s">
        <v>1879</v>
      </c>
      <c r="F738" s="49" t="s">
        <v>1224</v>
      </c>
      <c r="G738" s="39" t="s">
        <v>3150</v>
      </c>
    </row>
    <row r="739" customFormat="false" ht="18" hidden="false" customHeight="true" outlineLevel="0" collapsed="false">
      <c r="A739" s="47" t="n">
        <v>738</v>
      </c>
      <c r="B739" s="39" t="s">
        <v>258</v>
      </c>
      <c r="C739" s="39" t="s">
        <v>1873</v>
      </c>
      <c r="D739" s="39" t="s">
        <v>2850</v>
      </c>
      <c r="E739" s="48" t="s">
        <v>1880</v>
      </c>
      <c r="F739" s="49" t="s">
        <v>3165</v>
      </c>
      <c r="G739" s="39" t="s">
        <v>2852</v>
      </c>
    </row>
    <row r="740" customFormat="false" ht="18" hidden="false" customHeight="true" outlineLevel="0" collapsed="false">
      <c r="A740" s="47" t="n">
        <v>739</v>
      </c>
      <c r="B740" s="39" t="s">
        <v>749</v>
      </c>
      <c r="C740" s="39" t="s">
        <v>1881</v>
      </c>
      <c r="D740" s="39" t="s">
        <v>2840</v>
      </c>
      <c r="E740" s="48" t="s">
        <v>1882</v>
      </c>
      <c r="F740" s="49" t="s">
        <v>3166</v>
      </c>
      <c r="G740" s="39" t="s">
        <v>2898</v>
      </c>
    </row>
    <row r="741" customFormat="false" ht="18" hidden="false" customHeight="true" outlineLevel="0" collapsed="false">
      <c r="A741" s="47" t="n">
        <v>740</v>
      </c>
      <c r="B741" s="39" t="s">
        <v>749</v>
      </c>
      <c r="C741" s="39" t="s">
        <v>1881</v>
      </c>
      <c r="D741" s="39" t="s">
        <v>101</v>
      </c>
      <c r="E741" s="48" t="s">
        <v>1883</v>
      </c>
      <c r="F741" s="49" t="s">
        <v>748</v>
      </c>
      <c r="G741" s="39" t="s">
        <v>2843</v>
      </c>
    </row>
    <row r="742" customFormat="false" ht="18" hidden="false" customHeight="true" outlineLevel="0" collapsed="false">
      <c r="A742" s="47" t="n">
        <v>741</v>
      </c>
      <c r="B742" s="39" t="s">
        <v>749</v>
      </c>
      <c r="C742" s="39" t="s">
        <v>1881</v>
      </c>
      <c r="D742" s="39" t="s">
        <v>102</v>
      </c>
      <c r="E742" s="48" t="s">
        <v>1146</v>
      </c>
      <c r="F742" s="49" t="s">
        <v>137</v>
      </c>
      <c r="G742" s="39" t="s">
        <v>2844</v>
      </c>
    </row>
    <row r="743" customFormat="false" ht="18" hidden="false" customHeight="true" outlineLevel="0" collapsed="false">
      <c r="A743" s="47" t="n">
        <v>742</v>
      </c>
      <c r="B743" s="39" t="s">
        <v>749</v>
      </c>
      <c r="C743" s="39" t="s">
        <v>1881</v>
      </c>
      <c r="D743" s="39" t="s">
        <v>77</v>
      </c>
      <c r="E743" s="48" t="s">
        <v>1884</v>
      </c>
      <c r="F743" s="49" t="s">
        <v>83</v>
      </c>
      <c r="G743" s="39" t="s">
        <v>2863</v>
      </c>
    </row>
    <row r="744" customFormat="false" ht="18" hidden="false" customHeight="true" outlineLevel="0" collapsed="false">
      <c r="A744" s="47" t="n">
        <v>743</v>
      </c>
      <c r="B744" s="39" t="s">
        <v>749</v>
      </c>
      <c r="C744" s="39" t="s">
        <v>1881</v>
      </c>
      <c r="D744" s="39" t="s">
        <v>2845</v>
      </c>
      <c r="E744" s="48" t="s">
        <v>1885</v>
      </c>
      <c r="F744" s="49" t="s">
        <v>2899</v>
      </c>
      <c r="G744" s="39" t="s">
        <v>2847</v>
      </c>
    </row>
    <row r="745" customFormat="false" ht="18" hidden="false" customHeight="true" outlineLevel="0" collapsed="false">
      <c r="A745" s="47" t="n">
        <v>744</v>
      </c>
      <c r="B745" s="39" t="s">
        <v>749</v>
      </c>
      <c r="C745" s="39" t="s">
        <v>1881</v>
      </c>
      <c r="D745" s="39" t="s">
        <v>106</v>
      </c>
      <c r="E745" s="48" t="s">
        <v>1887</v>
      </c>
      <c r="F745" s="49" t="s">
        <v>1513</v>
      </c>
      <c r="G745" s="39" t="s">
        <v>3150</v>
      </c>
    </row>
    <row r="746" customFormat="false" ht="18" hidden="false" customHeight="true" outlineLevel="0" collapsed="false">
      <c r="A746" s="47" t="n">
        <v>745</v>
      </c>
      <c r="B746" s="39" t="s">
        <v>749</v>
      </c>
      <c r="C746" s="39" t="s">
        <v>1881</v>
      </c>
      <c r="D746" s="39" t="s">
        <v>2850</v>
      </c>
      <c r="E746" s="48" t="s">
        <v>1888</v>
      </c>
      <c r="F746" s="49" t="s">
        <v>3167</v>
      </c>
      <c r="G746" s="39" t="s">
        <v>2852</v>
      </c>
    </row>
    <row r="747" customFormat="false" ht="18" hidden="false" customHeight="true" outlineLevel="0" collapsed="false">
      <c r="A747" s="47" t="n">
        <v>746</v>
      </c>
      <c r="B747" s="39" t="s">
        <v>749</v>
      </c>
      <c r="C747" s="39" t="s">
        <v>1881</v>
      </c>
      <c r="D747" s="39" t="s">
        <v>109</v>
      </c>
      <c r="E747" s="48" t="s">
        <v>1819</v>
      </c>
      <c r="F747" s="49" t="s">
        <v>130</v>
      </c>
      <c r="G747" s="39" t="s">
        <v>2853</v>
      </c>
    </row>
    <row r="748" customFormat="false" ht="18" hidden="false" customHeight="true" outlineLevel="0" collapsed="false">
      <c r="A748" s="47" t="n">
        <v>747</v>
      </c>
      <c r="B748" s="39" t="s">
        <v>568</v>
      </c>
      <c r="C748" s="39" t="s">
        <v>1889</v>
      </c>
      <c r="D748" s="39" t="s">
        <v>2840</v>
      </c>
      <c r="E748" s="48" t="s">
        <v>1890</v>
      </c>
      <c r="F748" s="49" t="s">
        <v>3168</v>
      </c>
      <c r="G748" s="39" t="s">
        <v>2898</v>
      </c>
    </row>
    <row r="749" customFormat="false" ht="18" hidden="false" customHeight="true" outlineLevel="0" collapsed="false">
      <c r="A749" s="47" t="n">
        <v>748</v>
      </c>
      <c r="B749" s="39" t="s">
        <v>568</v>
      </c>
      <c r="C749" s="39" t="s">
        <v>1889</v>
      </c>
      <c r="D749" s="39" t="s">
        <v>101</v>
      </c>
      <c r="E749" s="48" t="s">
        <v>1891</v>
      </c>
      <c r="F749" s="49" t="s">
        <v>567</v>
      </c>
      <c r="G749" s="39" t="s">
        <v>2843</v>
      </c>
    </row>
    <row r="750" customFormat="false" ht="18" hidden="false" customHeight="true" outlineLevel="0" collapsed="false">
      <c r="A750" s="47" t="n">
        <v>749</v>
      </c>
      <c r="B750" s="39" t="s">
        <v>568</v>
      </c>
      <c r="C750" s="39" t="s">
        <v>1889</v>
      </c>
      <c r="D750" s="39" t="s">
        <v>102</v>
      </c>
      <c r="E750" s="48" t="s">
        <v>1201</v>
      </c>
      <c r="F750" s="49" t="s">
        <v>128</v>
      </c>
      <c r="G750" s="39" t="s">
        <v>2844</v>
      </c>
    </row>
    <row r="751" customFormat="false" ht="18" hidden="false" customHeight="true" outlineLevel="0" collapsed="false">
      <c r="A751" s="47" t="n">
        <v>750</v>
      </c>
      <c r="B751" s="39" t="s">
        <v>568</v>
      </c>
      <c r="C751" s="39" t="s">
        <v>1889</v>
      </c>
      <c r="D751" s="39" t="s">
        <v>2850</v>
      </c>
      <c r="E751" s="48" t="s">
        <v>1894</v>
      </c>
      <c r="F751" s="49" t="s">
        <v>3169</v>
      </c>
      <c r="G751" s="39" t="s">
        <v>2852</v>
      </c>
    </row>
    <row r="752" customFormat="false" ht="18" hidden="false" customHeight="true" outlineLevel="0" collapsed="false">
      <c r="A752" s="47" t="n">
        <v>751</v>
      </c>
      <c r="B752" s="39" t="s">
        <v>568</v>
      </c>
      <c r="C752" s="39" t="s">
        <v>1889</v>
      </c>
      <c r="D752" s="39" t="s">
        <v>109</v>
      </c>
      <c r="E752" s="48" t="s">
        <v>1836</v>
      </c>
      <c r="F752" s="49" t="s">
        <v>151</v>
      </c>
      <c r="G752" s="39" t="s">
        <v>2853</v>
      </c>
    </row>
    <row r="753" customFormat="false" ht="18" hidden="false" customHeight="true" outlineLevel="0" collapsed="false">
      <c r="A753" s="47" t="n">
        <v>752</v>
      </c>
      <c r="B753" s="39" t="s">
        <v>1046</v>
      </c>
      <c r="C753" s="39" t="s">
        <v>1895</v>
      </c>
      <c r="D753" s="39" t="s">
        <v>2840</v>
      </c>
      <c r="E753" s="48" t="s">
        <v>1896</v>
      </c>
      <c r="F753" s="49" t="s">
        <v>3170</v>
      </c>
      <c r="G753" s="39" t="s">
        <v>2898</v>
      </c>
    </row>
    <row r="754" customFormat="false" ht="18" hidden="false" customHeight="true" outlineLevel="0" collapsed="false">
      <c r="A754" s="47" t="n">
        <v>753</v>
      </c>
      <c r="B754" s="39" t="s">
        <v>1046</v>
      </c>
      <c r="C754" s="39" t="s">
        <v>1895</v>
      </c>
      <c r="D754" s="39" t="s">
        <v>101</v>
      </c>
      <c r="E754" s="48" t="s">
        <v>1897</v>
      </c>
      <c r="F754" s="49" t="s">
        <v>1045</v>
      </c>
      <c r="G754" s="39" t="s">
        <v>2843</v>
      </c>
    </row>
    <row r="755" customFormat="false" ht="18" hidden="false" customHeight="true" outlineLevel="0" collapsed="false">
      <c r="A755" s="47" t="n">
        <v>754</v>
      </c>
      <c r="B755" s="39" t="s">
        <v>1046</v>
      </c>
      <c r="C755" s="39" t="s">
        <v>1895</v>
      </c>
      <c r="D755" s="39" t="s">
        <v>2845</v>
      </c>
      <c r="E755" s="48" t="s">
        <v>1898</v>
      </c>
      <c r="F755" s="49" t="s">
        <v>3171</v>
      </c>
      <c r="G755" s="39" t="s">
        <v>2847</v>
      </c>
    </row>
    <row r="756" customFormat="false" ht="18" hidden="false" customHeight="true" outlineLevel="0" collapsed="false">
      <c r="A756" s="47" t="n">
        <v>755</v>
      </c>
      <c r="B756" s="39" t="s">
        <v>1046</v>
      </c>
      <c r="C756" s="39" t="s">
        <v>1895</v>
      </c>
      <c r="D756" s="39" t="s">
        <v>2848</v>
      </c>
      <c r="E756" s="48" t="s">
        <v>1899</v>
      </c>
      <c r="F756" s="49" t="s">
        <v>3171</v>
      </c>
      <c r="G756" s="39" t="s">
        <v>2847</v>
      </c>
    </row>
    <row r="757" customFormat="false" ht="18" hidden="false" customHeight="true" outlineLevel="0" collapsed="false">
      <c r="A757" s="47" t="n">
        <v>756</v>
      </c>
      <c r="B757" s="39" t="s">
        <v>1046</v>
      </c>
      <c r="C757" s="39" t="s">
        <v>1895</v>
      </c>
      <c r="D757" s="39" t="s">
        <v>106</v>
      </c>
      <c r="E757" s="48" t="s">
        <v>1900</v>
      </c>
      <c r="F757" s="49" t="s">
        <v>1140</v>
      </c>
      <c r="G757" s="39" t="s">
        <v>3150</v>
      </c>
    </row>
    <row r="758" customFormat="false" ht="18" hidden="false" customHeight="true" outlineLevel="0" collapsed="false">
      <c r="A758" s="47" t="n">
        <v>757</v>
      </c>
      <c r="B758" s="39" t="s">
        <v>1046</v>
      </c>
      <c r="C758" s="39" t="s">
        <v>1895</v>
      </c>
      <c r="D758" s="39" t="s">
        <v>2850</v>
      </c>
      <c r="E758" s="48" t="s">
        <v>1901</v>
      </c>
      <c r="F758" s="49" t="s">
        <v>3172</v>
      </c>
      <c r="G758" s="39" t="s">
        <v>2852</v>
      </c>
    </row>
    <row r="759" customFormat="false" ht="18" hidden="false" customHeight="true" outlineLevel="0" collapsed="false">
      <c r="A759" s="47" t="n">
        <v>758</v>
      </c>
      <c r="B759" s="39" t="s">
        <v>1046</v>
      </c>
      <c r="C759" s="39" t="s">
        <v>1895</v>
      </c>
      <c r="D759" s="39" t="s">
        <v>109</v>
      </c>
      <c r="E759" s="48" t="s">
        <v>1836</v>
      </c>
      <c r="F759" s="49" t="s">
        <v>151</v>
      </c>
      <c r="G759" s="39" t="s">
        <v>2853</v>
      </c>
    </row>
    <row r="760" customFormat="false" ht="18" hidden="false" customHeight="true" outlineLevel="0" collapsed="false">
      <c r="A760" s="47" t="n">
        <v>759</v>
      </c>
      <c r="B760" s="39" t="s">
        <v>675</v>
      </c>
      <c r="C760" s="39" t="s">
        <v>1902</v>
      </c>
      <c r="D760" s="39" t="s">
        <v>2840</v>
      </c>
      <c r="E760" s="48" t="s">
        <v>1903</v>
      </c>
      <c r="F760" s="49" t="s">
        <v>3173</v>
      </c>
      <c r="G760" s="39" t="s">
        <v>2898</v>
      </c>
    </row>
    <row r="761" customFormat="false" ht="18" hidden="false" customHeight="true" outlineLevel="0" collapsed="false">
      <c r="A761" s="47" t="n">
        <v>760</v>
      </c>
      <c r="B761" s="39" t="s">
        <v>675</v>
      </c>
      <c r="C761" s="39" t="s">
        <v>1902</v>
      </c>
      <c r="D761" s="39" t="s">
        <v>101</v>
      </c>
      <c r="E761" s="48" t="s">
        <v>1904</v>
      </c>
      <c r="F761" s="49" t="s">
        <v>674</v>
      </c>
      <c r="G761" s="39" t="s">
        <v>2843</v>
      </c>
    </row>
    <row r="762" customFormat="false" ht="18" hidden="false" customHeight="true" outlineLevel="0" collapsed="false">
      <c r="A762" s="47" t="n">
        <v>761</v>
      </c>
      <c r="B762" s="39" t="s">
        <v>675</v>
      </c>
      <c r="C762" s="39" t="s">
        <v>1902</v>
      </c>
      <c r="D762" s="39" t="s">
        <v>77</v>
      </c>
      <c r="E762" s="48" t="s">
        <v>3147</v>
      </c>
      <c r="F762" s="49" t="s">
        <v>79</v>
      </c>
      <c r="G762" s="39" t="s">
        <v>3148</v>
      </c>
    </row>
    <row r="763" customFormat="false" ht="18" hidden="false" customHeight="true" outlineLevel="0" collapsed="false">
      <c r="A763" s="47" t="n">
        <v>762</v>
      </c>
      <c r="B763" s="39" t="s">
        <v>675</v>
      </c>
      <c r="C763" s="39" t="s">
        <v>1902</v>
      </c>
      <c r="D763" s="39" t="s">
        <v>2845</v>
      </c>
      <c r="E763" s="48" t="s">
        <v>1905</v>
      </c>
      <c r="F763" s="49" t="s">
        <v>3174</v>
      </c>
      <c r="G763" s="39" t="s">
        <v>2847</v>
      </c>
    </row>
    <row r="764" customFormat="false" ht="18" hidden="false" customHeight="true" outlineLevel="0" collapsed="false">
      <c r="A764" s="47" t="n">
        <v>763</v>
      </c>
      <c r="B764" s="39" t="s">
        <v>675</v>
      </c>
      <c r="C764" s="39" t="s">
        <v>1902</v>
      </c>
      <c r="D764" s="39" t="s">
        <v>2848</v>
      </c>
      <c r="E764" s="48" t="s">
        <v>1906</v>
      </c>
      <c r="F764" s="49" t="s">
        <v>2849</v>
      </c>
      <c r="G764" s="39" t="s">
        <v>2847</v>
      </c>
    </row>
    <row r="765" customFormat="false" ht="18" hidden="false" customHeight="true" outlineLevel="0" collapsed="false">
      <c r="A765" s="47" t="n">
        <v>764</v>
      </c>
      <c r="B765" s="39" t="s">
        <v>675</v>
      </c>
      <c r="C765" s="39" t="s">
        <v>1902</v>
      </c>
      <c r="D765" s="39" t="s">
        <v>2850</v>
      </c>
      <c r="E765" s="48" t="s">
        <v>1907</v>
      </c>
      <c r="F765" s="49" t="s">
        <v>3175</v>
      </c>
      <c r="G765" s="39" t="s">
        <v>2852</v>
      </c>
    </row>
    <row r="766" customFormat="false" ht="18" hidden="false" customHeight="true" outlineLevel="0" collapsed="false">
      <c r="A766" s="47" t="n">
        <v>765</v>
      </c>
      <c r="B766" s="39" t="s">
        <v>207</v>
      </c>
      <c r="C766" s="39" t="s">
        <v>1908</v>
      </c>
      <c r="D766" s="39" t="s">
        <v>2840</v>
      </c>
      <c r="E766" s="48" t="s">
        <v>1909</v>
      </c>
      <c r="F766" s="49" t="s">
        <v>3176</v>
      </c>
      <c r="G766" s="39" t="s">
        <v>2898</v>
      </c>
    </row>
    <row r="767" customFormat="false" ht="18" hidden="false" customHeight="true" outlineLevel="0" collapsed="false">
      <c r="A767" s="47" t="n">
        <v>766</v>
      </c>
      <c r="B767" s="39" t="s">
        <v>207</v>
      </c>
      <c r="C767" s="39" t="s">
        <v>1908</v>
      </c>
      <c r="D767" s="39" t="s">
        <v>101</v>
      </c>
      <c r="E767" s="48" t="s">
        <v>1910</v>
      </c>
      <c r="F767" s="49" t="s">
        <v>206</v>
      </c>
      <c r="G767" s="39" t="s">
        <v>2843</v>
      </c>
    </row>
    <row r="768" customFormat="false" ht="18" hidden="false" customHeight="true" outlineLevel="0" collapsed="false">
      <c r="A768" s="47" t="n">
        <v>767</v>
      </c>
      <c r="B768" s="39" t="s">
        <v>207</v>
      </c>
      <c r="C768" s="39" t="s">
        <v>1908</v>
      </c>
      <c r="D768" s="39" t="s">
        <v>2848</v>
      </c>
      <c r="E768" s="48" t="s">
        <v>1912</v>
      </c>
      <c r="F768" s="49" t="s">
        <v>3177</v>
      </c>
      <c r="G768" s="39" t="s">
        <v>2847</v>
      </c>
    </row>
    <row r="769" customFormat="false" ht="18" hidden="false" customHeight="true" outlineLevel="0" collapsed="false">
      <c r="A769" s="47" t="n">
        <v>768</v>
      </c>
      <c r="B769" s="39" t="s">
        <v>207</v>
      </c>
      <c r="C769" s="39" t="s">
        <v>1908</v>
      </c>
      <c r="D769" s="39" t="s">
        <v>2850</v>
      </c>
      <c r="E769" s="48" t="s">
        <v>1913</v>
      </c>
      <c r="F769" s="49" t="s">
        <v>3178</v>
      </c>
      <c r="G769" s="39" t="s">
        <v>2852</v>
      </c>
    </row>
    <row r="770" customFormat="false" ht="18" hidden="false" customHeight="true" outlineLevel="0" collapsed="false">
      <c r="A770" s="47" t="n">
        <v>769</v>
      </c>
      <c r="B770" s="39" t="s">
        <v>207</v>
      </c>
      <c r="C770" s="39" t="s">
        <v>1908</v>
      </c>
      <c r="D770" s="39" t="s">
        <v>109</v>
      </c>
      <c r="E770" s="48" t="s">
        <v>1819</v>
      </c>
      <c r="F770" s="49" t="s">
        <v>130</v>
      </c>
      <c r="G770" s="39" t="s">
        <v>2853</v>
      </c>
    </row>
    <row r="771" customFormat="false" ht="18" hidden="false" customHeight="true" outlineLevel="0" collapsed="false">
      <c r="A771" s="47" t="n">
        <v>770</v>
      </c>
      <c r="B771" s="39" t="s">
        <v>637</v>
      </c>
      <c r="C771" s="39" t="s">
        <v>1914</v>
      </c>
      <c r="D771" s="39" t="s">
        <v>101</v>
      </c>
      <c r="E771" s="48" t="s">
        <v>1916</v>
      </c>
      <c r="F771" s="49" t="s">
        <v>636</v>
      </c>
      <c r="G771" s="39" t="s">
        <v>2843</v>
      </c>
    </row>
    <row r="772" customFormat="false" ht="18" hidden="false" customHeight="true" outlineLevel="0" collapsed="false">
      <c r="A772" s="47" t="n">
        <v>771</v>
      </c>
      <c r="B772" s="39" t="s">
        <v>637</v>
      </c>
      <c r="C772" s="39" t="s">
        <v>1914</v>
      </c>
      <c r="D772" s="39" t="s">
        <v>102</v>
      </c>
      <c r="E772" s="48" t="s">
        <v>1917</v>
      </c>
      <c r="F772" s="49" t="s">
        <v>239</v>
      </c>
      <c r="G772" s="39" t="s">
        <v>2844</v>
      </c>
    </row>
    <row r="773" customFormat="false" ht="18" hidden="false" customHeight="true" outlineLevel="0" collapsed="false">
      <c r="A773" s="47" t="n">
        <v>772</v>
      </c>
      <c r="B773" s="39" t="s">
        <v>637</v>
      </c>
      <c r="C773" s="39" t="s">
        <v>1914</v>
      </c>
      <c r="D773" s="39" t="s">
        <v>2845</v>
      </c>
      <c r="E773" s="48" t="s">
        <v>1918</v>
      </c>
      <c r="F773" s="49" t="s">
        <v>3179</v>
      </c>
      <c r="G773" s="39" t="s">
        <v>2847</v>
      </c>
    </row>
    <row r="774" customFormat="false" ht="18" hidden="false" customHeight="true" outlineLevel="0" collapsed="false">
      <c r="A774" s="47" t="n">
        <v>773</v>
      </c>
      <c r="B774" s="39" t="s">
        <v>637</v>
      </c>
      <c r="C774" s="39" t="s">
        <v>1914</v>
      </c>
      <c r="D774" s="39" t="s">
        <v>2848</v>
      </c>
      <c r="E774" s="48" t="s">
        <v>1919</v>
      </c>
      <c r="F774" s="49" t="s">
        <v>3180</v>
      </c>
      <c r="G774" s="39" t="s">
        <v>2847</v>
      </c>
    </row>
    <row r="775" customFormat="false" ht="18" hidden="false" customHeight="true" outlineLevel="0" collapsed="false">
      <c r="A775" s="47" t="n">
        <v>774</v>
      </c>
      <c r="B775" s="39" t="s">
        <v>637</v>
      </c>
      <c r="C775" s="39" t="s">
        <v>1914</v>
      </c>
      <c r="D775" s="39" t="s">
        <v>2850</v>
      </c>
      <c r="E775" s="48" t="s">
        <v>1920</v>
      </c>
      <c r="F775" s="49" t="s">
        <v>3181</v>
      </c>
      <c r="G775" s="39" t="s">
        <v>2852</v>
      </c>
    </row>
    <row r="776" customFormat="false" ht="18" hidden="false" customHeight="true" outlineLevel="0" collapsed="false">
      <c r="A776" s="47" t="n">
        <v>775</v>
      </c>
      <c r="B776" s="39" t="s">
        <v>1921</v>
      </c>
      <c r="C776" s="39" t="s">
        <v>1922</v>
      </c>
      <c r="D776" s="39" t="s">
        <v>2840</v>
      </c>
      <c r="E776" s="48" t="s">
        <v>1923</v>
      </c>
      <c r="F776" s="49" t="s">
        <v>3182</v>
      </c>
      <c r="G776" s="39" t="s">
        <v>2898</v>
      </c>
    </row>
    <row r="777" customFormat="false" ht="18" hidden="false" customHeight="true" outlineLevel="0" collapsed="false">
      <c r="A777" s="47" t="n">
        <v>776</v>
      </c>
      <c r="B777" s="39" t="s">
        <v>1921</v>
      </c>
      <c r="C777" s="39" t="s">
        <v>1922</v>
      </c>
      <c r="D777" s="39" t="s">
        <v>101</v>
      </c>
      <c r="E777" s="48" t="s">
        <v>1924</v>
      </c>
      <c r="F777" s="49" t="s">
        <v>323</v>
      </c>
      <c r="G777" s="39" t="s">
        <v>2843</v>
      </c>
    </row>
    <row r="778" customFormat="false" ht="18" hidden="false" customHeight="true" outlineLevel="0" collapsed="false">
      <c r="A778" s="47" t="n">
        <v>777</v>
      </c>
      <c r="B778" s="39" t="s">
        <v>1921</v>
      </c>
      <c r="C778" s="39" t="s">
        <v>1922</v>
      </c>
      <c r="D778" s="39" t="s">
        <v>2848</v>
      </c>
      <c r="E778" s="48" t="s">
        <v>1926</v>
      </c>
      <c r="F778" s="49" t="s">
        <v>3183</v>
      </c>
      <c r="G778" s="39" t="s">
        <v>2847</v>
      </c>
    </row>
    <row r="779" customFormat="false" ht="18" hidden="false" customHeight="true" outlineLevel="0" collapsed="false">
      <c r="A779" s="47" t="n">
        <v>778</v>
      </c>
      <c r="B779" s="39" t="s">
        <v>1921</v>
      </c>
      <c r="C779" s="39" t="s">
        <v>1922</v>
      </c>
      <c r="D779" s="39" t="s">
        <v>2850</v>
      </c>
      <c r="E779" s="48" t="s">
        <v>1927</v>
      </c>
      <c r="F779" s="49" t="s">
        <v>3184</v>
      </c>
      <c r="G779" s="39" t="s">
        <v>2852</v>
      </c>
    </row>
    <row r="780" customFormat="false" ht="18" hidden="false" customHeight="true" outlineLevel="0" collapsed="false">
      <c r="A780" s="47" t="n">
        <v>779</v>
      </c>
      <c r="B780" s="39" t="s">
        <v>1921</v>
      </c>
      <c r="C780" s="39" t="s">
        <v>1922</v>
      </c>
      <c r="D780" s="39" t="s">
        <v>109</v>
      </c>
      <c r="E780" s="48" t="s">
        <v>1836</v>
      </c>
      <c r="F780" s="49" t="s">
        <v>151</v>
      </c>
      <c r="G780" s="39" t="s">
        <v>2853</v>
      </c>
    </row>
    <row r="781" customFormat="false" ht="18" hidden="false" customHeight="true" outlineLevel="0" collapsed="false">
      <c r="A781" s="47" t="n">
        <v>780</v>
      </c>
      <c r="B781" s="39" t="s">
        <v>301</v>
      </c>
      <c r="C781" s="39" t="s">
        <v>1928</v>
      </c>
      <c r="D781" s="39" t="s">
        <v>101</v>
      </c>
      <c r="E781" s="48" t="s">
        <v>1930</v>
      </c>
      <c r="F781" s="49" t="s">
        <v>300</v>
      </c>
      <c r="G781" s="39" t="s">
        <v>2843</v>
      </c>
    </row>
    <row r="782" customFormat="false" ht="18" hidden="false" customHeight="true" outlineLevel="0" collapsed="false">
      <c r="A782" s="47" t="n">
        <v>781</v>
      </c>
      <c r="B782" s="39" t="s">
        <v>301</v>
      </c>
      <c r="C782" s="39" t="s">
        <v>1928</v>
      </c>
      <c r="D782" s="39" t="s">
        <v>2845</v>
      </c>
      <c r="E782" s="48" t="s">
        <v>1931</v>
      </c>
      <c r="F782" s="49" t="s">
        <v>3185</v>
      </c>
      <c r="G782" s="39" t="s">
        <v>2847</v>
      </c>
    </row>
    <row r="783" customFormat="false" ht="18" hidden="false" customHeight="true" outlineLevel="0" collapsed="false">
      <c r="A783" s="47" t="n">
        <v>782</v>
      </c>
      <c r="B783" s="39" t="s">
        <v>301</v>
      </c>
      <c r="C783" s="39" t="s">
        <v>1928</v>
      </c>
      <c r="D783" s="39" t="s">
        <v>2850</v>
      </c>
      <c r="E783" s="48" t="s">
        <v>1933</v>
      </c>
      <c r="F783" s="49" t="s">
        <v>3186</v>
      </c>
      <c r="G783" s="39" t="s">
        <v>2852</v>
      </c>
    </row>
    <row r="784" customFormat="false" ht="18" hidden="false" customHeight="true" outlineLevel="0" collapsed="false">
      <c r="A784" s="47" t="n">
        <v>783</v>
      </c>
      <c r="B784" s="39" t="s">
        <v>301</v>
      </c>
      <c r="C784" s="39" t="s">
        <v>1928</v>
      </c>
      <c r="D784" s="39" t="s">
        <v>109</v>
      </c>
      <c r="E784" s="48" t="s">
        <v>1851</v>
      </c>
      <c r="F784" s="49" t="s">
        <v>151</v>
      </c>
      <c r="G784" s="39" t="s">
        <v>2853</v>
      </c>
    </row>
    <row r="785" customFormat="false" ht="18" hidden="false" customHeight="true" outlineLevel="0" collapsed="false">
      <c r="A785" s="47" t="n">
        <v>784</v>
      </c>
      <c r="B785" s="39" t="s">
        <v>122</v>
      </c>
      <c r="C785" s="39" t="s">
        <v>1934</v>
      </c>
      <c r="D785" s="39" t="s">
        <v>101</v>
      </c>
      <c r="E785" s="48" t="s">
        <v>1936</v>
      </c>
      <c r="F785" s="49" t="s">
        <v>119</v>
      </c>
      <c r="G785" s="39" t="s">
        <v>2843</v>
      </c>
    </row>
    <row r="786" customFormat="false" ht="18" hidden="false" customHeight="true" outlineLevel="0" collapsed="false">
      <c r="A786" s="47" t="n">
        <v>785</v>
      </c>
      <c r="B786" s="39" t="s">
        <v>122</v>
      </c>
      <c r="C786" s="39" t="s">
        <v>1934</v>
      </c>
      <c r="D786" s="39" t="s">
        <v>102</v>
      </c>
      <c r="E786" s="48" t="s">
        <v>1235</v>
      </c>
      <c r="F786" s="49" t="s">
        <v>120</v>
      </c>
      <c r="G786" s="39" t="s">
        <v>2844</v>
      </c>
    </row>
    <row r="787" customFormat="false" ht="18" hidden="false" customHeight="true" outlineLevel="0" collapsed="false">
      <c r="A787" s="47" t="n">
        <v>786</v>
      </c>
      <c r="B787" s="39" t="s">
        <v>122</v>
      </c>
      <c r="C787" s="39" t="s">
        <v>1934</v>
      </c>
      <c r="D787" s="39" t="s">
        <v>2845</v>
      </c>
      <c r="E787" s="48" t="s">
        <v>1937</v>
      </c>
      <c r="F787" s="49" t="s">
        <v>3187</v>
      </c>
      <c r="G787" s="39" t="s">
        <v>2847</v>
      </c>
    </row>
    <row r="788" customFormat="false" ht="18" hidden="false" customHeight="true" outlineLevel="0" collapsed="false">
      <c r="A788" s="47" t="n">
        <v>787</v>
      </c>
      <c r="B788" s="39" t="s">
        <v>122</v>
      </c>
      <c r="C788" s="39" t="s">
        <v>1934</v>
      </c>
      <c r="D788" s="39" t="s">
        <v>2848</v>
      </c>
      <c r="E788" s="48" t="s">
        <v>1938</v>
      </c>
      <c r="F788" s="49" t="s">
        <v>3188</v>
      </c>
      <c r="G788" s="39" t="s">
        <v>2847</v>
      </c>
    </row>
    <row r="789" customFormat="false" ht="18" hidden="false" customHeight="true" outlineLevel="0" collapsed="false">
      <c r="A789" s="47" t="n">
        <v>788</v>
      </c>
      <c r="B789" s="39" t="s">
        <v>122</v>
      </c>
      <c r="C789" s="39" t="s">
        <v>1934</v>
      </c>
      <c r="D789" s="39" t="s">
        <v>2850</v>
      </c>
      <c r="E789" s="48" t="s">
        <v>1939</v>
      </c>
      <c r="F789" s="49" t="s">
        <v>3189</v>
      </c>
      <c r="G789" s="39" t="s">
        <v>2852</v>
      </c>
    </row>
    <row r="790" customFormat="false" ht="18" hidden="false" customHeight="true" outlineLevel="0" collapsed="false">
      <c r="A790" s="47" t="n">
        <v>789</v>
      </c>
      <c r="B790" s="39" t="s">
        <v>1010</v>
      </c>
      <c r="C790" s="39" t="s">
        <v>1940</v>
      </c>
      <c r="D790" s="39" t="s">
        <v>101</v>
      </c>
      <c r="E790" s="48" t="s">
        <v>1942</v>
      </c>
      <c r="F790" s="49" t="s">
        <v>1009</v>
      </c>
      <c r="G790" s="39" t="s">
        <v>2843</v>
      </c>
    </row>
    <row r="791" customFormat="false" ht="18" hidden="false" customHeight="true" outlineLevel="0" collapsed="false">
      <c r="A791" s="47" t="n">
        <v>790</v>
      </c>
      <c r="B791" s="39" t="s">
        <v>1010</v>
      </c>
      <c r="C791" s="39" t="s">
        <v>1940</v>
      </c>
      <c r="D791" s="39" t="s">
        <v>102</v>
      </c>
      <c r="E791" s="48" t="s">
        <v>81</v>
      </c>
      <c r="F791" s="49" t="s">
        <v>257</v>
      </c>
      <c r="G791" s="39" t="s">
        <v>2844</v>
      </c>
    </row>
    <row r="792" customFormat="false" ht="18" hidden="false" customHeight="true" outlineLevel="0" collapsed="false">
      <c r="A792" s="47" t="n">
        <v>791</v>
      </c>
      <c r="B792" s="39" t="s">
        <v>1010</v>
      </c>
      <c r="C792" s="39" t="s">
        <v>1940</v>
      </c>
      <c r="D792" s="39" t="s">
        <v>77</v>
      </c>
      <c r="E792" s="48" t="s">
        <v>3147</v>
      </c>
      <c r="F792" s="49" t="s">
        <v>81</v>
      </c>
      <c r="G792" s="39" t="s">
        <v>3148</v>
      </c>
    </row>
    <row r="793" customFormat="false" ht="18" hidden="false" customHeight="true" outlineLevel="0" collapsed="false">
      <c r="A793" s="47" t="n">
        <v>792</v>
      </c>
      <c r="B793" s="39" t="s">
        <v>1010</v>
      </c>
      <c r="C793" s="39" t="s">
        <v>1940</v>
      </c>
      <c r="D793" s="39" t="s">
        <v>2848</v>
      </c>
      <c r="E793" s="48" t="s">
        <v>1943</v>
      </c>
      <c r="F793" s="49" t="s">
        <v>3190</v>
      </c>
      <c r="G793" s="39" t="s">
        <v>2847</v>
      </c>
    </row>
    <row r="794" customFormat="false" ht="18" hidden="false" customHeight="true" outlineLevel="0" collapsed="false">
      <c r="A794" s="47" t="n">
        <v>793</v>
      </c>
      <c r="B794" s="39" t="s">
        <v>1010</v>
      </c>
      <c r="C794" s="39" t="s">
        <v>1940</v>
      </c>
      <c r="D794" s="39" t="s">
        <v>2850</v>
      </c>
      <c r="E794" s="48" t="s">
        <v>1944</v>
      </c>
      <c r="F794" s="49" t="s">
        <v>3191</v>
      </c>
      <c r="G794" s="39" t="s">
        <v>2852</v>
      </c>
    </row>
    <row r="795" customFormat="false" ht="18" hidden="false" customHeight="true" outlineLevel="0" collapsed="false">
      <c r="A795" s="47" t="n">
        <v>794</v>
      </c>
      <c r="B795" s="39" t="s">
        <v>1010</v>
      </c>
      <c r="C795" s="39" t="s">
        <v>1940</v>
      </c>
      <c r="D795" s="39" t="s">
        <v>109</v>
      </c>
      <c r="E795" s="48" t="s">
        <v>1851</v>
      </c>
      <c r="F795" s="49" t="s">
        <v>151</v>
      </c>
      <c r="G795" s="39" t="s">
        <v>2853</v>
      </c>
    </row>
    <row r="796" customFormat="false" ht="18" hidden="false" customHeight="true" outlineLevel="0" collapsed="false">
      <c r="A796" s="47" t="n">
        <v>795</v>
      </c>
      <c r="B796" s="39" t="s">
        <v>1945</v>
      </c>
      <c r="C796" s="39" t="s">
        <v>1946</v>
      </c>
      <c r="D796" s="39" t="s">
        <v>101</v>
      </c>
      <c r="E796" s="48" t="s">
        <v>1947</v>
      </c>
      <c r="F796" s="49" t="s">
        <v>381</v>
      </c>
      <c r="G796" s="39" t="s">
        <v>2843</v>
      </c>
    </row>
    <row r="797" customFormat="false" ht="18" hidden="false" customHeight="true" outlineLevel="0" collapsed="false">
      <c r="A797" s="47" t="n">
        <v>796</v>
      </c>
      <c r="B797" s="39" t="s">
        <v>1945</v>
      </c>
      <c r="C797" s="39" t="s">
        <v>1946</v>
      </c>
      <c r="D797" s="39" t="s">
        <v>102</v>
      </c>
      <c r="E797" s="48" t="s">
        <v>1824</v>
      </c>
      <c r="F797" s="49" t="s">
        <v>128</v>
      </c>
      <c r="G797" s="39" t="s">
        <v>2844</v>
      </c>
    </row>
    <row r="798" customFormat="false" ht="18" hidden="false" customHeight="true" outlineLevel="0" collapsed="false">
      <c r="A798" s="47" t="n">
        <v>797</v>
      </c>
      <c r="B798" s="39" t="s">
        <v>1945</v>
      </c>
      <c r="C798" s="39" t="s">
        <v>1946</v>
      </c>
      <c r="D798" s="39" t="s">
        <v>2845</v>
      </c>
      <c r="E798" s="48" t="s">
        <v>1948</v>
      </c>
      <c r="F798" s="49" t="s">
        <v>3192</v>
      </c>
      <c r="G798" s="39" t="s">
        <v>2847</v>
      </c>
    </row>
    <row r="799" customFormat="false" ht="18" hidden="false" customHeight="true" outlineLevel="0" collapsed="false">
      <c r="A799" s="47" t="n">
        <v>798</v>
      </c>
      <c r="B799" s="39" t="s">
        <v>1945</v>
      </c>
      <c r="C799" s="39" t="s">
        <v>1946</v>
      </c>
      <c r="D799" s="39" t="s">
        <v>106</v>
      </c>
      <c r="E799" s="48" t="s">
        <v>1950</v>
      </c>
      <c r="F799" s="49" t="s">
        <v>1272</v>
      </c>
      <c r="G799" s="39" t="s">
        <v>3150</v>
      </c>
    </row>
    <row r="800" customFormat="false" ht="18" hidden="false" customHeight="true" outlineLevel="0" collapsed="false">
      <c r="A800" s="47" t="n">
        <v>799</v>
      </c>
      <c r="B800" s="39" t="s">
        <v>1945</v>
      </c>
      <c r="C800" s="39" t="s">
        <v>1946</v>
      </c>
      <c r="D800" s="39" t="s">
        <v>2850</v>
      </c>
      <c r="E800" s="48" t="s">
        <v>1951</v>
      </c>
      <c r="F800" s="49" t="s">
        <v>3193</v>
      </c>
      <c r="G800" s="39" t="s">
        <v>2852</v>
      </c>
    </row>
    <row r="801" customFormat="false" ht="18" hidden="false" customHeight="true" outlineLevel="0" collapsed="false">
      <c r="A801" s="47" t="n">
        <v>800</v>
      </c>
      <c r="B801" s="39" t="s">
        <v>1945</v>
      </c>
      <c r="C801" s="39" t="s">
        <v>1946</v>
      </c>
      <c r="D801" s="39" t="s">
        <v>109</v>
      </c>
      <c r="E801" s="48" t="s">
        <v>1851</v>
      </c>
      <c r="F801" s="49" t="s">
        <v>151</v>
      </c>
      <c r="G801" s="39" t="s">
        <v>2853</v>
      </c>
    </row>
    <row r="802" customFormat="false" ht="18" hidden="false" customHeight="true" outlineLevel="0" collapsed="false">
      <c r="A802" s="47" t="n">
        <v>801</v>
      </c>
      <c r="B802" s="39" t="s">
        <v>563</v>
      </c>
      <c r="C802" s="39" t="s">
        <v>1952</v>
      </c>
      <c r="D802" s="39" t="s">
        <v>101</v>
      </c>
      <c r="E802" s="48" t="s">
        <v>1954</v>
      </c>
      <c r="F802" s="49" t="s">
        <v>562</v>
      </c>
      <c r="G802" s="39" t="s">
        <v>2843</v>
      </c>
    </row>
    <row r="803" customFormat="false" ht="18" hidden="false" customHeight="true" outlineLevel="0" collapsed="false">
      <c r="A803" s="47" t="n">
        <v>802</v>
      </c>
      <c r="B803" s="39" t="s">
        <v>563</v>
      </c>
      <c r="C803" s="39" t="s">
        <v>1952</v>
      </c>
      <c r="D803" s="39" t="s">
        <v>102</v>
      </c>
      <c r="E803" s="48" t="s">
        <v>1824</v>
      </c>
      <c r="F803" s="49" t="s">
        <v>128</v>
      </c>
      <c r="G803" s="39" t="s">
        <v>2844</v>
      </c>
    </row>
    <row r="804" customFormat="false" ht="18" hidden="false" customHeight="true" outlineLevel="0" collapsed="false">
      <c r="A804" s="47" t="n">
        <v>803</v>
      </c>
      <c r="B804" s="39" t="s">
        <v>563</v>
      </c>
      <c r="C804" s="39" t="s">
        <v>1952</v>
      </c>
      <c r="D804" s="39" t="s">
        <v>77</v>
      </c>
      <c r="E804" s="48" t="s">
        <v>3147</v>
      </c>
      <c r="F804" s="49" t="s">
        <v>79</v>
      </c>
      <c r="G804" s="39" t="s">
        <v>3148</v>
      </c>
    </row>
    <row r="805" customFormat="false" ht="18" hidden="false" customHeight="true" outlineLevel="0" collapsed="false">
      <c r="A805" s="47" t="n">
        <v>804</v>
      </c>
      <c r="B805" s="39" t="s">
        <v>563</v>
      </c>
      <c r="C805" s="39" t="s">
        <v>1952</v>
      </c>
      <c r="D805" s="39" t="s">
        <v>2845</v>
      </c>
      <c r="E805" s="48" t="s">
        <v>1955</v>
      </c>
      <c r="F805" s="49" t="s">
        <v>1892</v>
      </c>
      <c r="G805" s="39" t="s">
        <v>2847</v>
      </c>
    </row>
    <row r="806" customFormat="false" ht="18" hidden="false" customHeight="true" outlineLevel="0" collapsed="false">
      <c r="A806" s="47" t="n">
        <v>805</v>
      </c>
      <c r="B806" s="39" t="s">
        <v>563</v>
      </c>
      <c r="C806" s="39" t="s">
        <v>1952</v>
      </c>
      <c r="D806" s="39" t="s">
        <v>2848</v>
      </c>
      <c r="E806" s="48" t="s">
        <v>1956</v>
      </c>
      <c r="F806" s="49" t="s">
        <v>3194</v>
      </c>
      <c r="G806" s="39" t="s">
        <v>2847</v>
      </c>
    </row>
    <row r="807" customFormat="false" ht="18" hidden="false" customHeight="true" outlineLevel="0" collapsed="false">
      <c r="A807" s="47" t="n">
        <v>806</v>
      </c>
      <c r="B807" s="39" t="s">
        <v>563</v>
      </c>
      <c r="C807" s="39" t="s">
        <v>1952</v>
      </c>
      <c r="D807" s="39" t="s">
        <v>2850</v>
      </c>
      <c r="E807" s="48" t="s">
        <v>1957</v>
      </c>
      <c r="F807" s="49" t="s">
        <v>3195</v>
      </c>
      <c r="G807" s="39" t="s">
        <v>2852</v>
      </c>
    </row>
    <row r="808" customFormat="false" ht="18" hidden="false" customHeight="true" outlineLevel="0" collapsed="false">
      <c r="A808" s="47" t="n">
        <v>807</v>
      </c>
      <c r="B808" s="39" t="s">
        <v>563</v>
      </c>
      <c r="C808" s="39" t="s">
        <v>1952</v>
      </c>
      <c r="D808" s="39" t="s">
        <v>109</v>
      </c>
      <c r="E808" s="48" t="s">
        <v>1851</v>
      </c>
      <c r="F808" s="49" t="s">
        <v>151</v>
      </c>
      <c r="G808" s="39" t="s">
        <v>2853</v>
      </c>
    </row>
    <row r="809" customFormat="false" ht="18" hidden="false" customHeight="true" outlineLevel="0" collapsed="false">
      <c r="A809" s="47" t="n">
        <v>808</v>
      </c>
      <c r="B809" s="39" t="s">
        <v>1958</v>
      </c>
      <c r="C809" s="39" t="s">
        <v>1959</v>
      </c>
      <c r="D809" s="39" t="s">
        <v>101</v>
      </c>
      <c r="E809" s="48" t="s">
        <v>1960</v>
      </c>
      <c r="F809" s="49" t="s">
        <v>488</v>
      </c>
      <c r="G809" s="39" t="s">
        <v>2843</v>
      </c>
    </row>
    <row r="810" customFormat="false" ht="18" hidden="false" customHeight="true" outlineLevel="0" collapsed="false">
      <c r="A810" s="47" t="n">
        <v>809</v>
      </c>
      <c r="B810" s="39" t="s">
        <v>1958</v>
      </c>
      <c r="C810" s="39" t="s">
        <v>1959</v>
      </c>
      <c r="D810" s="39" t="s">
        <v>102</v>
      </c>
      <c r="E810" s="48" t="s">
        <v>1496</v>
      </c>
      <c r="F810" s="49" t="s">
        <v>295</v>
      </c>
      <c r="G810" s="39" t="s">
        <v>2844</v>
      </c>
    </row>
    <row r="811" customFormat="false" ht="18" hidden="false" customHeight="true" outlineLevel="0" collapsed="false">
      <c r="A811" s="47" t="n">
        <v>810</v>
      </c>
      <c r="B811" s="39" t="s">
        <v>1958</v>
      </c>
      <c r="C811" s="39" t="s">
        <v>1959</v>
      </c>
      <c r="D811" s="39" t="s">
        <v>2845</v>
      </c>
      <c r="E811" s="48" t="s">
        <v>1961</v>
      </c>
      <c r="F811" s="49" t="s">
        <v>3196</v>
      </c>
      <c r="G811" s="39" t="s">
        <v>2847</v>
      </c>
    </row>
    <row r="812" customFormat="false" ht="18" hidden="false" customHeight="true" outlineLevel="0" collapsed="false">
      <c r="A812" s="47" t="n">
        <v>811</v>
      </c>
      <c r="B812" s="39" t="s">
        <v>1958</v>
      </c>
      <c r="C812" s="39" t="s">
        <v>1959</v>
      </c>
      <c r="D812" s="39" t="s">
        <v>2848</v>
      </c>
      <c r="E812" s="48" t="s">
        <v>1962</v>
      </c>
      <c r="F812" s="49" t="s">
        <v>3197</v>
      </c>
      <c r="G812" s="39" t="s">
        <v>2847</v>
      </c>
    </row>
    <row r="813" customFormat="false" ht="18" hidden="false" customHeight="true" outlineLevel="0" collapsed="false">
      <c r="A813" s="47" t="n">
        <v>812</v>
      </c>
      <c r="B813" s="39" t="s">
        <v>1958</v>
      </c>
      <c r="C813" s="39" t="s">
        <v>1959</v>
      </c>
      <c r="D813" s="39" t="s">
        <v>2850</v>
      </c>
      <c r="E813" s="48" t="s">
        <v>1963</v>
      </c>
      <c r="F813" s="49" t="s">
        <v>3198</v>
      </c>
      <c r="G813" s="39" t="s">
        <v>2852</v>
      </c>
    </row>
    <row r="814" customFormat="false" ht="18" hidden="false" customHeight="true" outlineLevel="0" collapsed="false">
      <c r="A814" s="47" t="n">
        <v>813</v>
      </c>
      <c r="B814" s="39" t="s">
        <v>1958</v>
      </c>
      <c r="C814" s="39" t="s">
        <v>1959</v>
      </c>
      <c r="D814" s="39" t="s">
        <v>109</v>
      </c>
      <c r="E814" s="48" t="s">
        <v>1836</v>
      </c>
      <c r="F814" s="49" t="s">
        <v>151</v>
      </c>
      <c r="G814" s="39" t="s">
        <v>2853</v>
      </c>
    </row>
    <row r="815" customFormat="false" ht="18" hidden="false" customHeight="true" outlineLevel="0" collapsed="false">
      <c r="A815" s="47" t="n">
        <v>814</v>
      </c>
      <c r="B815" s="39" t="s">
        <v>1964</v>
      </c>
      <c r="C815" s="39" t="s">
        <v>1965</v>
      </c>
      <c r="D815" s="39" t="s">
        <v>2840</v>
      </c>
      <c r="E815" s="48" t="s">
        <v>1966</v>
      </c>
      <c r="F815" s="49" t="s">
        <v>2702</v>
      </c>
      <c r="G815" s="39" t="s">
        <v>2898</v>
      </c>
    </row>
    <row r="816" customFormat="false" ht="18" hidden="false" customHeight="true" outlineLevel="0" collapsed="false">
      <c r="A816" s="47" t="n">
        <v>815</v>
      </c>
      <c r="B816" s="39" t="s">
        <v>1964</v>
      </c>
      <c r="C816" s="39" t="s">
        <v>1965</v>
      </c>
      <c r="D816" s="39" t="s">
        <v>101</v>
      </c>
      <c r="E816" s="48" t="s">
        <v>1967</v>
      </c>
      <c r="F816" s="49" t="s">
        <v>989</v>
      </c>
      <c r="G816" s="39" t="s">
        <v>2843</v>
      </c>
    </row>
    <row r="817" customFormat="false" ht="18" hidden="false" customHeight="true" outlineLevel="0" collapsed="false">
      <c r="A817" s="47" t="n">
        <v>816</v>
      </c>
      <c r="B817" s="39" t="s">
        <v>1964</v>
      </c>
      <c r="C817" s="39" t="s">
        <v>1965</v>
      </c>
      <c r="D817" s="39" t="s">
        <v>102</v>
      </c>
      <c r="E817" s="48" t="s">
        <v>1564</v>
      </c>
      <c r="F817" s="49" t="s">
        <v>120</v>
      </c>
      <c r="G817" s="39" t="s">
        <v>2844</v>
      </c>
    </row>
    <row r="818" customFormat="false" ht="18" hidden="false" customHeight="true" outlineLevel="0" collapsed="false">
      <c r="A818" s="47" t="n">
        <v>817</v>
      </c>
      <c r="B818" s="39" t="s">
        <v>1964</v>
      </c>
      <c r="C818" s="39" t="s">
        <v>1965</v>
      </c>
      <c r="D818" s="39" t="s">
        <v>2845</v>
      </c>
      <c r="E818" s="48" t="s">
        <v>1968</v>
      </c>
      <c r="F818" s="49" t="s">
        <v>3199</v>
      </c>
      <c r="G818" s="39" t="s">
        <v>2847</v>
      </c>
    </row>
    <row r="819" customFormat="false" ht="18" hidden="false" customHeight="true" outlineLevel="0" collapsed="false">
      <c r="A819" s="47" t="n">
        <v>818</v>
      </c>
      <c r="B819" s="39" t="s">
        <v>1964</v>
      </c>
      <c r="C819" s="39" t="s">
        <v>1965</v>
      </c>
      <c r="D819" s="39" t="s">
        <v>2850</v>
      </c>
      <c r="E819" s="48" t="s">
        <v>1970</v>
      </c>
      <c r="F819" s="49" t="s">
        <v>3200</v>
      </c>
      <c r="G819" s="39" t="s">
        <v>2852</v>
      </c>
    </row>
    <row r="820" customFormat="false" ht="18" hidden="false" customHeight="true" outlineLevel="0" collapsed="false">
      <c r="A820" s="47" t="n">
        <v>819</v>
      </c>
      <c r="B820" s="39" t="s">
        <v>1964</v>
      </c>
      <c r="C820" s="39" t="s">
        <v>1965</v>
      </c>
      <c r="D820" s="39" t="s">
        <v>109</v>
      </c>
      <c r="E820" s="48" t="s">
        <v>1851</v>
      </c>
      <c r="F820" s="49" t="s">
        <v>151</v>
      </c>
      <c r="G820" s="39" t="s">
        <v>2853</v>
      </c>
    </row>
    <row r="821" customFormat="false" ht="18" hidden="false" customHeight="true" outlineLevel="0" collapsed="false">
      <c r="A821" s="47" t="n">
        <v>820</v>
      </c>
      <c r="B821" s="39" t="s">
        <v>841</v>
      </c>
      <c r="C821" s="39" t="s">
        <v>1971</v>
      </c>
      <c r="D821" s="39" t="s">
        <v>100</v>
      </c>
      <c r="E821" s="48" t="s">
        <v>1973</v>
      </c>
      <c r="F821" s="49" t="s">
        <v>3147</v>
      </c>
      <c r="G821" s="39" t="s">
        <v>3201</v>
      </c>
    </row>
    <row r="822" customFormat="false" ht="18" hidden="false" customHeight="true" outlineLevel="0" collapsed="false">
      <c r="A822" s="47" t="n">
        <v>821</v>
      </c>
      <c r="B822" s="39" t="s">
        <v>841</v>
      </c>
      <c r="C822" s="39" t="s">
        <v>1971</v>
      </c>
      <c r="D822" s="39" t="s">
        <v>101</v>
      </c>
      <c r="E822" s="48" t="s">
        <v>1974</v>
      </c>
      <c r="F822" s="49" t="s">
        <v>840</v>
      </c>
      <c r="G822" s="39" t="s">
        <v>2843</v>
      </c>
    </row>
    <row r="823" customFormat="false" ht="18" hidden="false" customHeight="true" outlineLevel="0" collapsed="false">
      <c r="A823" s="47" t="n">
        <v>822</v>
      </c>
      <c r="B823" s="39" t="s">
        <v>841</v>
      </c>
      <c r="C823" s="39" t="s">
        <v>1971</v>
      </c>
      <c r="D823" s="39" t="s">
        <v>102</v>
      </c>
      <c r="E823" s="48" t="s">
        <v>1975</v>
      </c>
      <c r="F823" s="49" t="s">
        <v>239</v>
      </c>
      <c r="G823" s="39" t="s">
        <v>2844</v>
      </c>
    </row>
    <row r="824" customFormat="false" ht="18" hidden="false" customHeight="true" outlineLevel="0" collapsed="false">
      <c r="A824" s="47" t="n">
        <v>823</v>
      </c>
      <c r="B824" s="39" t="s">
        <v>841</v>
      </c>
      <c r="C824" s="39" t="s">
        <v>1971</v>
      </c>
      <c r="D824" s="39" t="s">
        <v>2845</v>
      </c>
      <c r="E824" s="48" t="s">
        <v>1976</v>
      </c>
      <c r="F824" s="49" t="s">
        <v>2867</v>
      </c>
      <c r="G824" s="39" t="s">
        <v>2847</v>
      </c>
    </row>
    <row r="825" customFormat="false" ht="18" hidden="false" customHeight="true" outlineLevel="0" collapsed="false">
      <c r="A825" s="47" t="n">
        <v>824</v>
      </c>
      <c r="B825" s="39" t="s">
        <v>841</v>
      </c>
      <c r="C825" s="39" t="s">
        <v>1971</v>
      </c>
      <c r="D825" s="39" t="s">
        <v>2848</v>
      </c>
      <c r="E825" s="48" t="s">
        <v>1977</v>
      </c>
      <c r="F825" s="49" t="s">
        <v>3152</v>
      </c>
      <c r="G825" s="39" t="s">
        <v>2847</v>
      </c>
    </row>
    <row r="826" customFormat="false" ht="18" hidden="false" customHeight="true" outlineLevel="0" collapsed="false">
      <c r="A826" s="47" t="n">
        <v>825</v>
      </c>
      <c r="B826" s="39" t="s">
        <v>841</v>
      </c>
      <c r="C826" s="39" t="s">
        <v>1971</v>
      </c>
      <c r="D826" s="39" t="s">
        <v>2850</v>
      </c>
      <c r="E826" s="48" t="s">
        <v>1979</v>
      </c>
      <c r="F826" s="49" t="s">
        <v>3202</v>
      </c>
      <c r="G826" s="39" t="s">
        <v>2852</v>
      </c>
    </row>
    <row r="827" customFormat="false" ht="18" hidden="false" customHeight="true" outlineLevel="0" collapsed="false">
      <c r="A827" s="47" t="n">
        <v>826</v>
      </c>
      <c r="B827" s="39" t="s">
        <v>318</v>
      </c>
      <c r="C827" s="39" t="s">
        <v>1980</v>
      </c>
      <c r="D827" s="39" t="s">
        <v>101</v>
      </c>
      <c r="E827" s="48" t="s">
        <v>1982</v>
      </c>
      <c r="F827" s="49" t="s">
        <v>317</v>
      </c>
      <c r="G827" s="39" t="s">
        <v>2843</v>
      </c>
    </row>
    <row r="828" customFormat="false" ht="18" hidden="false" customHeight="true" outlineLevel="0" collapsed="false">
      <c r="A828" s="47" t="n">
        <v>827</v>
      </c>
      <c r="B828" s="39" t="s">
        <v>318</v>
      </c>
      <c r="C828" s="39" t="s">
        <v>1980</v>
      </c>
      <c r="D828" s="39" t="s">
        <v>2845</v>
      </c>
      <c r="E828" s="48" t="s">
        <v>1983</v>
      </c>
      <c r="F828" s="49" t="s">
        <v>3203</v>
      </c>
      <c r="G828" s="39" t="s">
        <v>2847</v>
      </c>
    </row>
    <row r="829" customFormat="false" ht="18" hidden="false" customHeight="true" outlineLevel="0" collapsed="false">
      <c r="A829" s="47" t="n">
        <v>828</v>
      </c>
      <c r="B829" s="39" t="s">
        <v>318</v>
      </c>
      <c r="C829" s="39" t="s">
        <v>1980</v>
      </c>
      <c r="D829" s="39" t="s">
        <v>2848</v>
      </c>
      <c r="E829" s="48" t="s">
        <v>1984</v>
      </c>
      <c r="F829" s="49" t="s">
        <v>3204</v>
      </c>
      <c r="G829" s="39" t="s">
        <v>2847</v>
      </c>
    </row>
    <row r="830" customFormat="false" ht="18" hidden="false" customHeight="true" outlineLevel="0" collapsed="false">
      <c r="A830" s="47" t="n">
        <v>829</v>
      </c>
      <c r="B830" s="39" t="s">
        <v>318</v>
      </c>
      <c r="C830" s="39" t="s">
        <v>1980</v>
      </c>
      <c r="D830" s="39" t="s">
        <v>2850</v>
      </c>
      <c r="E830" s="48" t="s">
        <v>1985</v>
      </c>
      <c r="F830" s="49" t="s">
        <v>3205</v>
      </c>
      <c r="G830" s="39" t="s">
        <v>2852</v>
      </c>
    </row>
    <row r="831" customFormat="false" ht="18" hidden="false" customHeight="true" outlineLevel="0" collapsed="false">
      <c r="A831" s="47" t="n">
        <v>830</v>
      </c>
      <c r="B831" s="39" t="s">
        <v>318</v>
      </c>
      <c r="C831" s="39" t="s">
        <v>1980</v>
      </c>
      <c r="D831" s="39" t="s">
        <v>109</v>
      </c>
      <c r="E831" s="48" t="s">
        <v>1819</v>
      </c>
      <c r="F831" s="49" t="s">
        <v>130</v>
      </c>
      <c r="G831" s="39" t="s">
        <v>2853</v>
      </c>
    </row>
    <row r="832" customFormat="false" ht="18" hidden="false" customHeight="true" outlineLevel="0" collapsed="false">
      <c r="A832" s="47" t="n">
        <v>831</v>
      </c>
      <c r="B832" s="39" t="s">
        <v>1986</v>
      </c>
      <c r="C832" s="39" t="s">
        <v>1987</v>
      </c>
      <c r="D832" s="39" t="s">
        <v>101</v>
      </c>
      <c r="E832" s="48" t="s">
        <v>1504</v>
      </c>
      <c r="F832" s="49" t="s">
        <v>763</v>
      </c>
      <c r="G832" s="39" t="s">
        <v>2843</v>
      </c>
    </row>
    <row r="833" customFormat="false" ht="18" hidden="false" customHeight="true" outlineLevel="0" collapsed="false">
      <c r="A833" s="47" t="n">
        <v>832</v>
      </c>
      <c r="B833" s="39" t="s">
        <v>1986</v>
      </c>
      <c r="C833" s="39" t="s">
        <v>1987</v>
      </c>
      <c r="D833" s="39" t="s">
        <v>102</v>
      </c>
      <c r="E833" s="48" t="s">
        <v>1505</v>
      </c>
      <c r="F833" s="49" t="s">
        <v>137</v>
      </c>
      <c r="G833" s="39" t="s">
        <v>2844</v>
      </c>
    </row>
    <row r="834" customFormat="false" ht="18" hidden="false" customHeight="true" outlineLevel="0" collapsed="false">
      <c r="A834" s="47" t="n">
        <v>833</v>
      </c>
      <c r="B834" s="39" t="s">
        <v>1986</v>
      </c>
      <c r="C834" s="39" t="s">
        <v>1987</v>
      </c>
      <c r="D834" s="39" t="s">
        <v>77</v>
      </c>
      <c r="E834" s="48" t="s">
        <v>3147</v>
      </c>
      <c r="F834" s="49" t="s">
        <v>83</v>
      </c>
      <c r="G834" s="39" t="s">
        <v>3148</v>
      </c>
    </row>
    <row r="835" customFormat="false" ht="18" hidden="false" customHeight="true" outlineLevel="0" collapsed="false">
      <c r="A835" s="47" t="n">
        <v>834</v>
      </c>
      <c r="B835" s="39" t="s">
        <v>1986</v>
      </c>
      <c r="C835" s="39" t="s">
        <v>1987</v>
      </c>
      <c r="D835" s="39" t="s">
        <v>2848</v>
      </c>
      <c r="E835" s="48" t="s">
        <v>1989</v>
      </c>
      <c r="F835" s="49" t="s">
        <v>3206</v>
      </c>
      <c r="G835" s="39" t="s">
        <v>2847</v>
      </c>
    </row>
    <row r="836" customFormat="false" ht="18" hidden="false" customHeight="true" outlineLevel="0" collapsed="false">
      <c r="A836" s="47" t="n">
        <v>835</v>
      </c>
      <c r="B836" s="39" t="s">
        <v>1986</v>
      </c>
      <c r="C836" s="39" t="s">
        <v>1987</v>
      </c>
      <c r="D836" s="39" t="s">
        <v>2850</v>
      </c>
      <c r="E836" s="48" t="s">
        <v>1990</v>
      </c>
      <c r="F836" s="49" t="s">
        <v>3207</v>
      </c>
      <c r="G836" s="39" t="s">
        <v>2852</v>
      </c>
    </row>
    <row r="837" customFormat="false" ht="18" hidden="false" customHeight="true" outlineLevel="0" collapsed="false">
      <c r="A837" s="47" t="n">
        <v>836</v>
      </c>
      <c r="B837" s="39" t="s">
        <v>826</v>
      </c>
      <c r="C837" s="39" t="s">
        <v>1991</v>
      </c>
      <c r="D837" s="39" t="s">
        <v>101</v>
      </c>
      <c r="E837" s="48" t="s">
        <v>1993</v>
      </c>
      <c r="F837" s="49" t="s">
        <v>825</v>
      </c>
      <c r="G837" s="39" t="s">
        <v>2843</v>
      </c>
    </row>
    <row r="838" customFormat="false" ht="18" hidden="false" customHeight="true" outlineLevel="0" collapsed="false">
      <c r="A838" s="47" t="n">
        <v>837</v>
      </c>
      <c r="B838" s="39" t="s">
        <v>826</v>
      </c>
      <c r="C838" s="39" t="s">
        <v>1991</v>
      </c>
      <c r="D838" s="39" t="s">
        <v>102</v>
      </c>
      <c r="E838" s="48" t="s">
        <v>1105</v>
      </c>
      <c r="F838" s="49" t="s">
        <v>239</v>
      </c>
      <c r="G838" s="39" t="s">
        <v>2844</v>
      </c>
    </row>
    <row r="839" customFormat="false" ht="18" hidden="false" customHeight="true" outlineLevel="0" collapsed="false">
      <c r="A839" s="47" t="n">
        <v>838</v>
      </c>
      <c r="B839" s="39" t="s">
        <v>826</v>
      </c>
      <c r="C839" s="39" t="s">
        <v>1991</v>
      </c>
      <c r="D839" s="39" t="s">
        <v>2845</v>
      </c>
      <c r="E839" s="48" t="s">
        <v>1994</v>
      </c>
      <c r="F839" s="49" t="s">
        <v>3208</v>
      </c>
      <c r="G839" s="39" t="s">
        <v>2847</v>
      </c>
    </row>
    <row r="840" customFormat="false" ht="18" hidden="false" customHeight="true" outlineLevel="0" collapsed="false">
      <c r="A840" s="47" t="n">
        <v>839</v>
      </c>
      <c r="B840" s="39" t="s">
        <v>826</v>
      </c>
      <c r="C840" s="39" t="s">
        <v>1991</v>
      </c>
      <c r="D840" s="39" t="s">
        <v>2850</v>
      </c>
      <c r="E840" s="48" t="s">
        <v>1996</v>
      </c>
      <c r="F840" s="49" t="s">
        <v>3209</v>
      </c>
      <c r="G840" s="39" t="s">
        <v>2852</v>
      </c>
    </row>
    <row r="841" customFormat="false" ht="18" hidden="false" customHeight="true" outlineLevel="0" collapsed="false">
      <c r="A841" s="47" t="n">
        <v>840</v>
      </c>
      <c r="B841" s="39" t="s">
        <v>826</v>
      </c>
      <c r="C841" s="39" t="s">
        <v>1991</v>
      </c>
      <c r="D841" s="39" t="s">
        <v>109</v>
      </c>
      <c r="E841" s="48" t="s">
        <v>1836</v>
      </c>
      <c r="F841" s="49" t="s">
        <v>151</v>
      </c>
      <c r="G841" s="39" t="s">
        <v>2853</v>
      </c>
    </row>
    <row r="842" customFormat="false" ht="18" hidden="false" customHeight="true" outlineLevel="0" collapsed="false">
      <c r="A842" s="47" t="n">
        <v>841</v>
      </c>
      <c r="B842" s="39" t="s">
        <v>1997</v>
      </c>
      <c r="C842" s="39" t="s">
        <v>1998</v>
      </c>
      <c r="D842" s="39" t="s">
        <v>101</v>
      </c>
      <c r="E842" s="48" t="s">
        <v>2000</v>
      </c>
      <c r="F842" s="49" t="s">
        <v>422</v>
      </c>
      <c r="G842" s="39" t="s">
        <v>2843</v>
      </c>
    </row>
    <row r="843" customFormat="false" ht="18" hidden="false" customHeight="true" outlineLevel="0" collapsed="false">
      <c r="A843" s="47" t="n">
        <v>842</v>
      </c>
      <c r="B843" s="39" t="s">
        <v>1997</v>
      </c>
      <c r="C843" s="39" t="s">
        <v>1998</v>
      </c>
      <c r="D843" s="39" t="s">
        <v>77</v>
      </c>
      <c r="E843" s="48" t="s">
        <v>3147</v>
      </c>
      <c r="F843" s="49" t="s">
        <v>83</v>
      </c>
      <c r="G843" s="39" t="s">
        <v>3148</v>
      </c>
    </row>
    <row r="844" customFormat="false" ht="18" hidden="false" customHeight="true" outlineLevel="0" collapsed="false">
      <c r="A844" s="47" t="n">
        <v>843</v>
      </c>
      <c r="B844" s="39" t="s">
        <v>1997</v>
      </c>
      <c r="C844" s="39" t="s">
        <v>1998</v>
      </c>
      <c r="D844" s="39" t="s">
        <v>2845</v>
      </c>
      <c r="E844" s="48" t="s">
        <v>2001</v>
      </c>
      <c r="F844" s="49" t="s">
        <v>3210</v>
      </c>
      <c r="G844" s="39" t="s">
        <v>2847</v>
      </c>
    </row>
    <row r="845" customFormat="false" ht="18" hidden="false" customHeight="true" outlineLevel="0" collapsed="false">
      <c r="A845" s="47" t="n">
        <v>844</v>
      </c>
      <c r="B845" s="39" t="s">
        <v>1997</v>
      </c>
      <c r="C845" s="39" t="s">
        <v>1998</v>
      </c>
      <c r="D845" s="39" t="s">
        <v>2848</v>
      </c>
      <c r="E845" s="48" t="s">
        <v>2002</v>
      </c>
      <c r="F845" s="49" t="s">
        <v>3211</v>
      </c>
      <c r="G845" s="39" t="s">
        <v>2847</v>
      </c>
    </row>
    <row r="846" customFormat="false" ht="18" hidden="false" customHeight="true" outlineLevel="0" collapsed="false">
      <c r="A846" s="47" t="n">
        <v>845</v>
      </c>
      <c r="B846" s="39" t="s">
        <v>1997</v>
      </c>
      <c r="C846" s="39" t="s">
        <v>1998</v>
      </c>
      <c r="D846" s="39" t="s">
        <v>2850</v>
      </c>
      <c r="E846" s="48" t="s">
        <v>2003</v>
      </c>
      <c r="F846" s="49" t="s">
        <v>3212</v>
      </c>
      <c r="G846" s="39" t="s">
        <v>2852</v>
      </c>
    </row>
    <row r="847" customFormat="false" ht="18" hidden="false" customHeight="true" outlineLevel="0" collapsed="false">
      <c r="A847" s="47" t="n">
        <v>846</v>
      </c>
      <c r="B847" s="39" t="s">
        <v>1064</v>
      </c>
      <c r="C847" s="39" t="s">
        <v>2004</v>
      </c>
      <c r="D847" s="39" t="s">
        <v>2840</v>
      </c>
      <c r="E847" s="48" t="s">
        <v>2005</v>
      </c>
      <c r="F847" s="49" t="s">
        <v>3213</v>
      </c>
      <c r="G847" s="39" t="s">
        <v>2898</v>
      </c>
    </row>
    <row r="848" customFormat="false" ht="18" hidden="false" customHeight="true" outlineLevel="0" collapsed="false">
      <c r="A848" s="47" t="n">
        <v>847</v>
      </c>
      <c r="B848" s="39" t="s">
        <v>1064</v>
      </c>
      <c r="C848" s="39" t="s">
        <v>2004</v>
      </c>
      <c r="D848" s="39" t="s">
        <v>101</v>
      </c>
      <c r="E848" s="48" t="s">
        <v>2006</v>
      </c>
      <c r="F848" s="49" t="s">
        <v>1063</v>
      </c>
      <c r="G848" s="39" t="s">
        <v>2843</v>
      </c>
    </row>
    <row r="849" customFormat="false" ht="18" hidden="false" customHeight="true" outlineLevel="0" collapsed="false">
      <c r="A849" s="47" t="n">
        <v>848</v>
      </c>
      <c r="B849" s="39" t="s">
        <v>1064</v>
      </c>
      <c r="C849" s="39" t="s">
        <v>2004</v>
      </c>
      <c r="D849" s="39" t="s">
        <v>77</v>
      </c>
      <c r="E849" s="48" t="s">
        <v>3147</v>
      </c>
      <c r="F849" s="49" t="s">
        <v>80</v>
      </c>
      <c r="G849" s="39" t="s">
        <v>3148</v>
      </c>
    </row>
    <row r="850" customFormat="false" ht="18" hidden="false" customHeight="true" outlineLevel="0" collapsed="false">
      <c r="A850" s="47" t="n">
        <v>849</v>
      </c>
      <c r="B850" s="39" t="s">
        <v>1064</v>
      </c>
      <c r="C850" s="39" t="s">
        <v>2004</v>
      </c>
      <c r="D850" s="39" t="s">
        <v>2845</v>
      </c>
      <c r="E850" s="48" t="s">
        <v>2007</v>
      </c>
      <c r="F850" s="49" t="s">
        <v>2008</v>
      </c>
      <c r="G850" s="39" t="s">
        <v>2847</v>
      </c>
    </row>
    <row r="851" customFormat="false" ht="18" hidden="false" customHeight="true" outlineLevel="0" collapsed="false">
      <c r="A851" s="47" t="n">
        <v>850</v>
      </c>
      <c r="B851" s="39" t="s">
        <v>1064</v>
      </c>
      <c r="C851" s="39" t="s">
        <v>2004</v>
      </c>
      <c r="D851" s="39" t="s">
        <v>106</v>
      </c>
      <c r="E851" s="48" t="s">
        <v>1900</v>
      </c>
      <c r="F851" s="49" t="s">
        <v>1140</v>
      </c>
      <c r="G851" s="39" t="s">
        <v>3150</v>
      </c>
    </row>
    <row r="852" customFormat="false" ht="18" hidden="false" customHeight="true" outlineLevel="0" collapsed="false">
      <c r="A852" s="47" t="n">
        <v>851</v>
      </c>
      <c r="B852" s="39" t="s">
        <v>1064</v>
      </c>
      <c r="C852" s="39" t="s">
        <v>2004</v>
      </c>
      <c r="D852" s="39" t="s">
        <v>2850</v>
      </c>
      <c r="E852" s="48" t="s">
        <v>2009</v>
      </c>
      <c r="F852" s="49" t="s">
        <v>2862</v>
      </c>
      <c r="G852" s="39" t="s">
        <v>2852</v>
      </c>
    </row>
    <row r="853" customFormat="false" ht="18" hidden="false" customHeight="true" outlineLevel="0" collapsed="false">
      <c r="A853" s="47" t="n">
        <v>852</v>
      </c>
      <c r="B853" s="39" t="s">
        <v>1064</v>
      </c>
      <c r="C853" s="39" t="s">
        <v>2004</v>
      </c>
      <c r="D853" s="39" t="s">
        <v>109</v>
      </c>
      <c r="E853" s="48" t="s">
        <v>1851</v>
      </c>
      <c r="F853" s="49" t="s">
        <v>151</v>
      </c>
      <c r="G853" s="39" t="s">
        <v>2853</v>
      </c>
    </row>
    <row r="854" customFormat="false" ht="18" hidden="false" customHeight="true" outlineLevel="0" collapsed="false">
      <c r="A854" s="47" t="n">
        <v>853</v>
      </c>
      <c r="B854" s="39" t="s">
        <v>1051</v>
      </c>
      <c r="C854" s="39" t="s">
        <v>2010</v>
      </c>
      <c r="D854" s="39" t="s">
        <v>101</v>
      </c>
      <c r="E854" s="48" t="s">
        <v>2012</v>
      </c>
      <c r="F854" s="49" t="s">
        <v>1050</v>
      </c>
      <c r="G854" s="39" t="s">
        <v>2843</v>
      </c>
    </row>
    <row r="855" customFormat="false" ht="18" hidden="false" customHeight="true" outlineLevel="0" collapsed="false">
      <c r="A855" s="47" t="n">
        <v>854</v>
      </c>
      <c r="B855" s="39" t="s">
        <v>1051</v>
      </c>
      <c r="C855" s="39" t="s">
        <v>2010</v>
      </c>
      <c r="D855" s="39" t="s">
        <v>102</v>
      </c>
      <c r="E855" s="48" t="s">
        <v>1824</v>
      </c>
      <c r="F855" s="49" t="s">
        <v>128</v>
      </c>
      <c r="G855" s="39" t="s">
        <v>2844</v>
      </c>
    </row>
    <row r="856" customFormat="false" ht="18" hidden="false" customHeight="true" outlineLevel="0" collapsed="false">
      <c r="A856" s="47" t="n">
        <v>855</v>
      </c>
      <c r="B856" s="39" t="s">
        <v>1051</v>
      </c>
      <c r="C856" s="39" t="s">
        <v>2010</v>
      </c>
      <c r="D856" s="39" t="s">
        <v>77</v>
      </c>
      <c r="E856" s="48" t="s">
        <v>3147</v>
      </c>
      <c r="F856" s="49" t="s">
        <v>79</v>
      </c>
      <c r="G856" s="39" t="s">
        <v>3148</v>
      </c>
    </row>
    <row r="857" customFormat="false" ht="18" hidden="false" customHeight="true" outlineLevel="0" collapsed="false">
      <c r="A857" s="47" t="n">
        <v>856</v>
      </c>
      <c r="B857" s="39" t="s">
        <v>1051</v>
      </c>
      <c r="C857" s="39" t="s">
        <v>2010</v>
      </c>
      <c r="D857" s="39" t="s">
        <v>2845</v>
      </c>
      <c r="E857" s="48" t="s">
        <v>1899</v>
      </c>
      <c r="F857" s="49" t="s">
        <v>3171</v>
      </c>
      <c r="G857" s="39" t="s">
        <v>2847</v>
      </c>
    </row>
    <row r="858" customFormat="false" ht="18" hidden="false" customHeight="true" outlineLevel="0" collapsed="false">
      <c r="A858" s="47" t="n">
        <v>857</v>
      </c>
      <c r="B858" s="39" t="s">
        <v>1051</v>
      </c>
      <c r="C858" s="39" t="s">
        <v>2010</v>
      </c>
      <c r="D858" s="39" t="s">
        <v>2848</v>
      </c>
      <c r="E858" s="48" t="s">
        <v>2013</v>
      </c>
      <c r="F858" s="49" t="s">
        <v>2890</v>
      </c>
      <c r="G858" s="39" t="s">
        <v>2847</v>
      </c>
    </row>
    <row r="859" customFormat="false" ht="18" hidden="false" customHeight="true" outlineLevel="0" collapsed="false">
      <c r="A859" s="47" t="n">
        <v>858</v>
      </c>
      <c r="B859" s="39" t="s">
        <v>1051</v>
      </c>
      <c r="C859" s="39" t="s">
        <v>2010</v>
      </c>
      <c r="D859" s="39" t="s">
        <v>2850</v>
      </c>
      <c r="E859" s="48" t="s">
        <v>2014</v>
      </c>
      <c r="F859" s="49" t="s">
        <v>3214</v>
      </c>
      <c r="G859" s="39" t="s">
        <v>2852</v>
      </c>
    </row>
    <row r="860" customFormat="false" ht="18" hidden="false" customHeight="true" outlineLevel="0" collapsed="false">
      <c r="A860" s="47" t="n">
        <v>859</v>
      </c>
      <c r="B860" s="39" t="s">
        <v>1051</v>
      </c>
      <c r="C860" s="39" t="s">
        <v>2010</v>
      </c>
      <c r="D860" s="39" t="s">
        <v>109</v>
      </c>
      <c r="E860" s="48" t="s">
        <v>1851</v>
      </c>
      <c r="F860" s="49" t="s">
        <v>151</v>
      </c>
      <c r="G860" s="39" t="s">
        <v>2853</v>
      </c>
    </row>
    <row r="861" customFormat="false" ht="18" hidden="false" customHeight="true" outlineLevel="0" collapsed="false">
      <c r="A861" s="47" t="n">
        <v>860</v>
      </c>
      <c r="B861" s="39" t="s">
        <v>2015</v>
      </c>
      <c r="C861" s="39" t="s">
        <v>2016</v>
      </c>
      <c r="D861" s="39" t="s">
        <v>101</v>
      </c>
      <c r="E861" s="48" t="s">
        <v>2018</v>
      </c>
      <c r="F861" s="49" t="s">
        <v>767</v>
      </c>
      <c r="G861" s="39" t="s">
        <v>2843</v>
      </c>
    </row>
    <row r="862" customFormat="false" ht="18" hidden="false" customHeight="true" outlineLevel="0" collapsed="false">
      <c r="A862" s="47" t="n">
        <v>861</v>
      </c>
      <c r="B862" s="39" t="s">
        <v>2015</v>
      </c>
      <c r="C862" s="39" t="s">
        <v>2016</v>
      </c>
      <c r="D862" s="39" t="s">
        <v>77</v>
      </c>
      <c r="E862" s="48" t="s">
        <v>3147</v>
      </c>
      <c r="F862" s="49" t="s">
        <v>80</v>
      </c>
      <c r="G862" s="39" t="s">
        <v>3148</v>
      </c>
    </row>
    <row r="863" customFormat="false" ht="18" hidden="false" customHeight="true" outlineLevel="0" collapsed="false">
      <c r="A863" s="47" t="n">
        <v>862</v>
      </c>
      <c r="B863" s="39" t="s">
        <v>2015</v>
      </c>
      <c r="C863" s="39" t="s">
        <v>2016</v>
      </c>
      <c r="D863" s="39" t="s">
        <v>2845</v>
      </c>
      <c r="E863" s="48" t="s">
        <v>2019</v>
      </c>
      <c r="F863" s="49" t="s">
        <v>3215</v>
      </c>
      <c r="G863" s="39" t="s">
        <v>2847</v>
      </c>
    </row>
    <row r="864" customFormat="false" ht="18" hidden="false" customHeight="true" outlineLevel="0" collapsed="false">
      <c r="A864" s="47" t="n">
        <v>863</v>
      </c>
      <c r="B864" s="39" t="s">
        <v>2015</v>
      </c>
      <c r="C864" s="39" t="s">
        <v>2016</v>
      </c>
      <c r="D864" s="39" t="s">
        <v>2848</v>
      </c>
      <c r="E864" s="48" t="s">
        <v>2020</v>
      </c>
      <c r="F864" s="49" t="s">
        <v>3216</v>
      </c>
      <c r="G864" s="39" t="s">
        <v>2847</v>
      </c>
    </row>
    <row r="865" customFormat="false" ht="18" hidden="false" customHeight="true" outlineLevel="0" collapsed="false">
      <c r="A865" s="47" t="n">
        <v>864</v>
      </c>
      <c r="B865" s="39" t="s">
        <v>2015</v>
      </c>
      <c r="C865" s="39" t="s">
        <v>2016</v>
      </c>
      <c r="D865" s="39" t="s">
        <v>2850</v>
      </c>
      <c r="E865" s="48" t="s">
        <v>2021</v>
      </c>
      <c r="F865" s="49" t="s">
        <v>3217</v>
      </c>
      <c r="G865" s="39" t="s">
        <v>2852</v>
      </c>
    </row>
    <row r="866" customFormat="false" ht="18" hidden="false" customHeight="true" outlineLevel="0" collapsed="false">
      <c r="A866" s="47" t="n">
        <v>865</v>
      </c>
      <c r="B866" s="39" t="s">
        <v>1080</v>
      </c>
      <c r="C866" s="39" t="s">
        <v>2022</v>
      </c>
      <c r="D866" s="39" t="s">
        <v>2840</v>
      </c>
      <c r="E866" s="48" t="s">
        <v>2023</v>
      </c>
      <c r="F866" s="49" t="s">
        <v>3218</v>
      </c>
      <c r="G866" s="39" t="s">
        <v>2898</v>
      </c>
    </row>
    <row r="867" customFormat="false" ht="18" hidden="false" customHeight="true" outlineLevel="0" collapsed="false">
      <c r="A867" s="47" t="n">
        <v>866</v>
      </c>
      <c r="B867" s="39" t="s">
        <v>1080</v>
      </c>
      <c r="C867" s="39" t="s">
        <v>2022</v>
      </c>
      <c r="D867" s="39" t="s">
        <v>101</v>
      </c>
      <c r="E867" s="48" t="s">
        <v>2024</v>
      </c>
      <c r="F867" s="49" t="s">
        <v>1079</v>
      </c>
      <c r="G867" s="39" t="s">
        <v>2843</v>
      </c>
    </row>
    <row r="868" customFormat="false" ht="18" hidden="false" customHeight="true" outlineLevel="0" collapsed="false">
      <c r="A868" s="47" t="n">
        <v>867</v>
      </c>
      <c r="B868" s="39" t="s">
        <v>1080</v>
      </c>
      <c r="C868" s="39" t="s">
        <v>2022</v>
      </c>
      <c r="D868" s="39" t="s">
        <v>102</v>
      </c>
      <c r="E868" s="48" t="s">
        <v>1564</v>
      </c>
      <c r="F868" s="49" t="s">
        <v>120</v>
      </c>
      <c r="G868" s="39" t="s">
        <v>2844</v>
      </c>
    </row>
    <row r="869" customFormat="false" ht="18" hidden="false" customHeight="true" outlineLevel="0" collapsed="false">
      <c r="A869" s="47" t="n">
        <v>868</v>
      </c>
      <c r="B869" s="39" t="s">
        <v>1080</v>
      </c>
      <c r="C869" s="39" t="s">
        <v>2022</v>
      </c>
      <c r="D869" s="39" t="s">
        <v>77</v>
      </c>
      <c r="E869" s="48" t="s">
        <v>1216</v>
      </c>
      <c r="F869" s="49" t="s">
        <v>80</v>
      </c>
      <c r="G869" s="39" t="s">
        <v>2863</v>
      </c>
    </row>
    <row r="870" customFormat="false" ht="18" hidden="false" customHeight="true" outlineLevel="0" collapsed="false">
      <c r="A870" s="47" t="n">
        <v>869</v>
      </c>
      <c r="B870" s="39" t="s">
        <v>1080</v>
      </c>
      <c r="C870" s="39" t="s">
        <v>2022</v>
      </c>
      <c r="D870" s="39" t="s">
        <v>2845</v>
      </c>
      <c r="E870" s="48" t="s">
        <v>2025</v>
      </c>
      <c r="F870" s="49" t="s">
        <v>3107</v>
      </c>
      <c r="G870" s="39" t="s">
        <v>2847</v>
      </c>
    </row>
    <row r="871" customFormat="false" ht="18" hidden="false" customHeight="true" outlineLevel="0" collapsed="false">
      <c r="A871" s="47" t="n">
        <v>870</v>
      </c>
      <c r="B871" s="39" t="s">
        <v>1080</v>
      </c>
      <c r="C871" s="39" t="s">
        <v>2022</v>
      </c>
      <c r="D871" s="39" t="s">
        <v>2848</v>
      </c>
      <c r="E871" s="48" t="s">
        <v>2026</v>
      </c>
      <c r="F871" s="49" t="s">
        <v>3219</v>
      </c>
      <c r="G871" s="39" t="s">
        <v>2847</v>
      </c>
    </row>
    <row r="872" customFormat="false" ht="18" hidden="false" customHeight="true" outlineLevel="0" collapsed="false">
      <c r="A872" s="47" t="n">
        <v>871</v>
      </c>
      <c r="B872" s="39" t="s">
        <v>1080</v>
      </c>
      <c r="C872" s="39" t="s">
        <v>2022</v>
      </c>
      <c r="D872" s="39" t="s">
        <v>2850</v>
      </c>
      <c r="E872" s="48" t="s">
        <v>2027</v>
      </c>
      <c r="F872" s="49" t="s">
        <v>3220</v>
      </c>
      <c r="G872" s="39" t="s">
        <v>2852</v>
      </c>
    </row>
    <row r="873" customFormat="false" ht="18" hidden="false" customHeight="true" outlineLevel="0" collapsed="false">
      <c r="A873" s="47" t="n">
        <v>872</v>
      </c>
      <c r="B873" s="39" t="s">
        <v>1080</v>
      </c>
      <c r="C873" s="39" t="s">
        <v>2022</v>
      </c>
      <c r="D873" s="39" t="s">
        <v>109</v>
      </c>
      <c r="E873" s="48" t="s">
        <v>1851</v>
      </c>
      <c r="F873" s="49" t="s">
        <v>151</v>
      </c>
      <c r="G873" s="39" t="s">
        <v>2853</v>
      </c>
    </row>
    <row r="874" customFormat="false" ht="18" hidden="false" customHeight="true" outlineLevel="0" collapsed="false">
      <c r="A874" s="47" t="n">
        <v>873</v>
      </c>
      <c r="B874" s="39" t="s">
        <v>716</v>
      </c>
      <c r="C874" s="39" t="s">
        <v>2028</v>
      </c>
      <c r="D874" s="39" t="s">
        <v>101</v>
      </c>
      <c r="E874" s="48" t="s">
        <v>2030</v>
      </c>
      <c r="F874" s="49" t="s">
        <v>715</v>
      </c>
      <c r="G874" s="39" t="s">
        <v>2843</v>
      </c>
    </row>
    <row r="875" customFormat="false" ht="18" hidden="false" customHeight="true" outlineLevel="0" collapsed="false">
      <c r="A875" s="47" t="n">
        <v>874</v>
      </c>
      <c r="B875" s="39" t="s">
        <v>716</v>
      </c>
      <c r="C875" s="39" t="s">
        <v>2028</v>
      </c>
      <c r="D875" s="39" t="s">
        <v>77</v>
      </c>
      <c r="E875" s="48" t="s">
        <v>3147</v>
      </c>
      <c r="F875" s="49" t="s">
        <v>79</v>
      </c>
      <c r="G875" s="39" t="s">
        <v>3148</v>
      </c>
    </row>
    <row r="876" customFormat="false" ht="18" hidden="false" customHeight="true" outlineLevel="0" collapsed="false">
      <c r="A876" s="47" t="n">
        <v>875</v>
      </c>
      <c r="B876" s="39" t="s">
        <v>716</v>
      </c>
      <c r="C876" s="39" t="s">
        <v>2028</v>
      </c>
      <c r="D876" s="39" t="s">
        <v>2845</v>
      </c>
      <c r="E876" s="48" t="s">
        <v>2031</v>
      </c>
      <c r="F876" s="49" t="s">
        <v>3140</v>
      </c>
      <c r="G876" s="39" t="s">
        <v>2847</v>
      </c>
    </row>
    <row r="877" customFormat="false" ht="18" hidden="false" customHeight="true" outlineLevel="0" collapsed="false">
      <c r="A877" s="47" t="n">
        <v>876</v>
      </c>
      <c r="B877" s="39" t="s">
        <v>716</v>
      </c>
      <c r="C877" s="39" t="s">
        <v>2028</v>
      </c>
      <c r="D877" s="39" t="s">
        <v>2848</v>
      </c>
      <c r="E877" s="48" t="s">
        <v>2032</v>
      </c>
      <c r="F877" s="49" t="s">
        <v>3221</v>
      </c>
      <c r="G877" s="39" t="s">
        <v>2847</v>
      </c>
    </row>
    <row r="878" customFormat="false" ht="18" hidden="false" customHeight="true" outlineLevel="0" collapsed="false">
      <c r="A878" s="47" t="n">
        <v>877</v>
      </c>
      <c r="B878" s="39" t="s">
        <v>716</v>
      </c>
      <c r="C878" s="39" t="s">
        <v>2028</v>
      </c>
      <c r="D878" s="39" t="s">
        <v>106</v>
      </c>
      <c r="E878" s="48" t="s">
        <v>1834</v>
      </c>
      <c r="F878" s="49" t="s">
        <v>1678</v>
      </c>
      <c r="G878" s="39" t="s">
        <v>3150</v>
      </c>
    </row>
    <row r="879" customFormat="false" ht="18" hidden="false" customHeight="true" outlineLevel="0" collapsed="false">
      <c r="A879" s="47" t="n">
        <v>878</v>
      </c>
      <c r="B879" s="39" t="s">
        <v>716</v>
      </c>
      <c r="C879" s="39" t="s">
        <v>2028</v>
      </c>
      <c r="D879" s="39" t="s">
        <v>2850</v>
      </c>
      <c r="E879" s="48" t="s">
        <v>2033</v>
      </c>
      <c r="F879" s="49" t="s">
        <v>3222</v>
      </c>
      <c r="G879" s="39" t="s">
        <v>2852</v>
      </c>
    </row>
    <row r="880" customFormat="false" ht="18" hidden="false" customHeight="true" outlineLevel="0" collapsed="false">
      <c r="A880" s="47" t="n">
        <v>879</v>
      </c>
      <c r="B880" s="39" t="s">
        <v>716</v>
      </c>
      <c r="C880" s="39" t="s">
        <v>2028</v>
      </c>
      <c r="D880" s="39" t="s">
        <v>109</v>
      </c>
      <c r="E880" s="48" t="s">
        <v>2034</v>
      </c>
      <c r="F880" s="49" t="s">
        <v>130</v>
      </c>
      <c r="G880" s="39" t="s">
        <v>2853</v>
      </c>
    </row>
    <row r="881" customFormat="false" ht="18" hidden="false" customHeight="true" outlineLevel="0" collapsed="false">
      <c r="A881" s="47" t="n">
        <v>880</v>
      </c>
      <c r="B881" s="39" t="s">
        <v>953</v>
      </c>
      <c r="C881" s="39" t="s">
        <v>2035</v>
      </c>
      <c r="D881" s="39" t="s">
        <v>2840</v>
      </c>
      <c r="E881" s="48" t="s">
        <v>2036</v>
      </c>
      <c r="F881" s="49" t="s">
        <v>3223</v>
      </c>
      <c r="G881" s="39" t="s">
        <v>2898</v>
      </c>
    </row>
    <row r="882" customFormat="false" ht="18" hidden="false" customHeight="true" outlineLevel="0" collapsed="false">
      <c r="A882" s="47" t="n">
        <v>881</v>
      </c>
      <c r="B882" s="39" t="s">
        <v>953</v>
      </c>
      <c r="C882" s="39" t="s">
        <v>2035</v>
      </c>
      <c r="D882" s="39" t="s">
        <v>101</v>
      </c>
      <c r="E882" s="48" t="s">
        <v>2037</v>
      </c>
      <c r="F882" s="49" t="s">
        <v>952</v>
      </c>
      <c r="G882" s="39" t="s">
        <v>2843</v>
      </c>
    </row>
    <row r="883" customFormat="false" ht="18" hidden="false" customHeight="true" outlineLevel="0" collapsed="false">
      <c r="A883" s="47" t="n">
        <v>882</v>
      </c>
      <c r="B883" s="39" t="s">
        <v>953</v>
      </c>
      <c r="C883" s="39" t="s">
        <v>2035</v>
      </c>
      <c r="D883" s="39" t="s">
        <v>77</v>
      </c>
      <c r="E883" s="48" t="s">
        <v>3147</v>
      </c>
      <c r="F883" s="49" t="s">
        <v>79</v>
      </c>
      <c r="G883" s="39" t="s">
        <v>3148</v>
      </c>
    </row>
    <row r="884" customFormat="false" ht="18" hidden="false" customHeight="true" outlineLevel="0" collapsed="false">
      <c r="A884" s="47" t="n">
        <v>883</v>
      </c>
      <c r="B884" s="39" t="s">
        <v>953</v>
      </c>
      <c r="C884" s="39" t="s">
        <v>2035</v>
      </c>
      <c r="D884" s="39" t="s">
        <v>106</v>
      </c>
      <c r="E884" s="48" t="s">
        <v>1849</v>
      </c>
      <c r="F884" s="49" t="s">
        <v>1149</v>
      </c>
      <c r="G884" s="39" t="s">
        <v>3150</v>
      </c>
    </row>
    <row r="885" customFormat="false" ht="18" hidden="false" customHeight="true" outlineLevel="0" collapsed="false">
      <c r="A885" s="47" t="n">
        <v>884</v>
      </c>
      <c r="B885" s="39" t="s">
        <v>953</v>
      </c>
      <c r="C885" s="39" t="s">
        <v>2035</v>
      </c>
      <c r="D885" s="39" t="s">
        <v>2850</v>
      </c>
      <c r="E885" s="48" t="s">
        <v>2040</v>
      </c>
      <c r="F885" s="49" t="s">
        <v>3224</v>
      </c>
      <c r="G885" s="39" t="s">
        <v>2852</v>
      </c>
    </row>
    <row r="886" customFormat="false" ht="18" hidden="false" customHeight="true" outlineLevel="0" collapsed="false">
      <c r="A886" s="47" t="n">
        <v>885</v>
      </c>
      <c r="B886" s="39" t="s">
        <v>953</v>
      </c>
      <c r="C886" s="39" t="s">
        <v>2035</v>
      </c>
      <c r="D886" s="39" t="s">
        <v>109</v>
      </c>
      <c r="E886" s="48" t="s">
        <v>1836</v>
      </c>
      <c r="F886" s="49" t="s">
        <v>151</v>
      </c>
      <c r="G886" s="39" t="s">
        <v>2853</v>
      </c>
    </row>
    <row r="887" customFormat="false" ht="18" hidden="false" customHeight="true" outlineLevel="0" collapsed="false">
      <c r="A887" s="47" t="n">
        <v>886</v>
      </c>
      <c r="B887" s="39" t="s">
        <v>2041</v>
      </c>
      <c r="C887" s="39" t="s">
        <v>2042</v>
      </c>
      <c r="D887" s="39" t="s">
        <v>101</v>
      </c>
      <c r="E887" s="48" t="s">
        <v>2044</v>
      </c>
      <c r="F887" s="49" t="s">
        <v>901</v>
      </c>
      <c r="G887" s="39" t="s">
        <v>2843</v>
      </c>
    </row>
    <row r="888" customFormat="false" ht="18" hidden="false" customHeight="true" outlineLevel="0" collapsed="false">
      <c r="A888" s="47" t="n">
        <v>887</v>
      </c>
      <c r="B888" s="39" t="s">
        <v>2041</v>
      </c>
      <c r="C888" s="39" t="s">
        <v>2042</v>
      </c>
      <c r="D888" s="39" t="s">
        <v>102</v>
      </c>
      <c r="E888" s="48" t="s">
        <v>2045</v>
      </c>
      <c r="F888" s="49" t="s">
        <v>163</v>
      </c>
      <c r="G888" s="39" t="s">
        <v>2844</v>
      </c>
    </row>
    <row r="889" customFormat="false" ht="18" hidden="false" customHeight="true" outlineLevel="0" collapsed="false">
      <c r="A889" s="47" t="n">
        <v>888</v>
      </c>
      <c r="B889" s="39" t="s">
        <v>2041</v>
      </c>
      <c r="C889" s="39" t="s">
        <v>2042</v>
      </c>
      <c r="D889" s="39" t="s">
        <v>77</v>
      </c>
      <c r="E889" s="48" t="s">
        <v>3147</v>
      </c>
      <c r="F889" s="49" t="s">
        <v>79</v>
      </c>
      <c r="G889" s="39" t="s">
        <v>3148</v>
      </c>
    </row>
    <row r="890" customFormat="false" ht="18" hidden="false" customHeight="true" outlineLevel="0" collapsed="false">
      <c r="A890" s="47" t="n">
        <v>889</v>
      </c>
      <c r="B890" s="39" t="s">
        <v>2041</v>
      </c>
      <c r="C890" s="39" t="s">
        <v>2042</v>
      </c>
      <c r="D890" s="39" t="s">
        <v>2845</v>
      </c>
      <c r="E890" s="48" t="s">
        <v>2046</v>
      </c>
      <c r="F890" s="49" t="s">
        <v>3225</v>
      </c>
      <c r="G890" s="39" t="s">
        <v>2847</v>
      </c>
    </row>
    <row r="891" customFormat="false" ht="18" hidden="false" customHeight="true" outlineLevel="0" collapsed="false">
      <c r="A891" s="47" t="n">
        <v>890</v>
      </c>
      <c r="B891" s="39" t="s">
        <v>2041</v>
      </c>
      <c r="C891" s="39" t="s">
        <v>2042</v>
      </c>
      <c r="D891" s="39" t="s">
        <v>2848</v>
      </c>
      <c r="E891" s="48" t="s">
        <v>2047</v>
      </c>
      <c r="F891" s="49" t="s">
        <v>3226</v>
      </c>
      <c r="G891" s="39" t="s">
        <v>2847</v>
      </c>
    </row>
    <row r="892" customFormat="false" ht="18" hidden="false" customHeight="true" outlineLevel="0" collapsed="false">
      <c r="A892" s="47" t="n">
        <v>891</v>
      </c>
      <c r="B892" s="39" t="s">
        <v>2041</v>
      </c>
      <c r="C892" s="39" t="s">
        <v>2042</v>
      </c>
      <c r="D892" s="39" t="s">
        <v>106</v>
      </c>
      <c r="E892" s="48" t="s">
        <v>1887</v>
      </c>
      <c r="F892" s="49" t="s">
        <v>1513</v>
      </c>
      <c r="G892" s="39" t="s">
        <v>3150</v>
      </c>
    </row>
    <row r="893" customFormat="false" ht="18" hidden="false" customHeight="true" outlineLevel="0" collapsed="false">
      <c r="A893" s="47" t="n">
        <v>892</v>
      </c>
      <c r="B893" s="39" t="s">
        <v>2041</v>
      </c>
      <c r="C893" s="39" t="s">
        <v>2042</v>
      </c>
      <c r="D893" s="39" t="s">
        <v>2850</v>
      </c>
      <c r="E893" s="48" t="s">
        <v>2048</v>
      </c>
      <c r="F893" s="49" t="s">
        <v>3135</v>
      </c>
      <c r="G893" s="39" t="s">
        <v>2852</v>
      </c>
    </row>
    <row r="894" customFormat="false" ht="18" hidden="false" customHeight="true" outlineLevel="0" collapsed="false">
      <c r="A894" s="47" t="n">
        <v>893</v>
      </c>
      <c r="B894" s="39" t="s">
        <v>2049</v>
      </c>
      <c r="C894" s="39" t="s">
        <v>2050</v>
      </c>
      <c r="D894" s="39" t="s">
        <v>2840</v>
      </c>
      <c r="E894" s="48" t="s">
        <v>2051</v>
      </c>
      <c r="F894" s="49" t="s">
        <v>1644</v>
      </c>
      <c r="G894" s="39" t="s">
        <v>2898</v>
      </c>
    </row>
    <row r="895" customFormat="false" ht="18" hidden="false" customHeight="true" outlineLevel="0" collapsed="false">
      <c r="A895" s="47" t="n">
        <v>894</v>
      </c>
      <c r="B895" s="39" t="s">
        <v>2049</v>
      </c>
      <c r="C895" s="39" t="s">
        <v>2050</v>
      </c>
      <c r="D895" s="39" t="s">
        <v>100</v>
      </c>
      <c r="E895" s="48" t="s">
        <v>2052</v>
      </c>
      <c r="F895" s="49" t="s">
        <v>497</v>
      </c>
      <c r="G895" s="39" t="s">
        <v>2878</v>
      </c>
    </row>
    <row r="896" customFormat="false" ht="18" hidden="false" customHeight="true" outlineLevel="0" collapsed="false">
      <c r="A896" s="47" t="n">
        <v>895</v>
      </c>
      <c r="B896" s="39" t="s">
        <v>2049</v>
      </c>
      <c r="C896" s="39" t="s">
        <v>2050</v>
      </c>
      <c r="D896" s="39" t="s">
        <v>101</v>
      </c>
      <c r="E896" s="48" t="s">
        <v>2053</v>
      </c>
      <c r="F896" s="49" t="s">
        <v>498</v>
      </c>
      <c r="G896" s="39" t="s">
        <v>2843</v>
      </c>
    </row>
    <row r="897" customFormat="false" ht="18" hidden="false" customHeight="true" outlineLevel="0" collapsed="false">
      <c r="A897" s="47" t="n">
        <v>896</v>
      </c>
      <c r="B897" s="39" t="s">
        <v>2049</v>
      </c>
      <c r="C897" s="39" t="s">
        <v>2050</v>
      </c>
      <c r="D897" s="39" t="s">
        <v>2848</v>
      </c>
      <c r="E897" s="48" t="s">
        <v>2055</v>
      </c>
      <c r="F897" s="49" t="s">
        <v>3227</v>
      </c>
      <c r="G897" s="39" t="s">
        <v>2847</v>
      </c>
    </row>
    <row r="898" customFormat="false" ht="18" hidden="false" customHeight="true" outlineLevel="0" collapsed="false">
      <c r="A898" s="47" t="n">
        <v>897</v>
      </c>
      <c r="B898" s="39" t="s">
        <v>2049</v>
      </c>
      <c r="C898" s="39" t="s">
        <v>2050</v>
      </c>
      <c r="D898" s="39" t="s">
        <v>2850</v>
      </c>
      <c r="E898" s="48" t="s">
        <v>1850</v>
      </c>
      <c r="F898" s="49" t="s">
        <v>3157</v>
      </c>
      <c r="G898" s="39" t="s">
        <v>2852</v>
      </c>
    </row>
    <row r="899" customFormat="false" ht="18" hidden="false" customHeight="true" outlineLevel="0" collapsed="false">
      <c r="A899" s="47" t="n">
        <v>898</v>
      </c>
      <c r="B899" s="39" t="s">
        <v>171</v>
      </c>
      <c r="C899" s="39" t="s">
        <v>2056</v>
      </c>
      <c r="D899" s="39" t="s">
        <v>100</v>
      </c>
      <c r="E899" s="48" t="s">
        <v>2058</v>
      </c>
      <c r="F899" s="49" t="s">
        <v>168</v>
      </c>
      <c r="G899" s="39" t="s">
        <v>2878</v>
      </c>
    </row>
    <row r="900" customFormat="false" ht="18" hidden="false" customHeight="true" outlineLevel="0" collapsed="false">
      <c r="A900" s="47" t="n">
        <v>899</v>
      </c>
      <c r="B900" s="39" t="s">
        <v>171</v>
      </c>
      <c r="C900" s="39" t="s">
        <v>2056</v>
      </c>
      <c r="D900" s="39" t="s">
        <v>101</v>
      </c>
      <c r="E900" s="48" t="s">
        <v>2059</v>
      </c>
      <c r="F900" s="49" t="s">
        <v>169</v>
      </c>
      <c r="G900" s="39" t="s">
        <v>2843</v>
      </c>
    </row>
    <row r="901" customFormat="false" ht="18" hidden="false" customHeight="true" outlineLevel="0" collapsed="false">
      <c r="A901" s="47" t="n">
        <v>900</v>
      </c>
      <c r="B901" s="39" t="s">
        <v>171</v>
      </c>
      <c r="C901" s="39" t="s">
        <v>2056</v>
      </c>
      <c r="D901" s="39" t="s">
        <v>2845</v>
      </c>
      <c r="E901" s="48" t="s">
        <v>2060</v>
      </c>
      <c r="F901" s="49" t="s">
        <v>3228</v>
      </c>
      <c r="G901" s="39" t="s">
        <v>2847</v>
      </c>
    </row>
    <row r="902" customFormat="false" ht="18" hidden="false" customHeight="true" outlineLevel="0" collapsed="false">
      <c r="A902" s="47" t="n">
        <v>901</v>
      </c>
      <c r="B902" s="39" t="s">
        <v>171</v>
      </c>
      <c r="C902" s="39" t="s">
        <v>2056</v>
      </c>
      <c r="D902" s="39" t="s">
        <v>106</v>
      </c>
      <c r="E902" s="48" t="s">
        <v>2062</v>
      </c>
      <c r="F902" s="49" t="s">
        <v>1130</v>
      </c>
      <c r="G902" s="39" t="s">
        <v>3150</v>
      </c>
    </row>
    <row r="903" customFormat="false" ht="18" hidden="false" customHeight="true" outlineLevel="0" collapsed="false">
      <c r="A903" s="47" t="n">
        <v>902</v>
      </c>
      <c r="B903" s="39" t="s">
        <v>171</v>
      </c>
      <c r="C903" s="39" t="s">
        <v>2056</v>
      </c>
      <c r="D903" s="39" t="s">
        <v>2850</v>
      </c>
      <c r="E903" s="48" t="s">
        <v>2063</v>
      </c>
      <c r="F903" s="49" t="s">
        <v>2907</v>
      </c>
      <c r="G903" s="39" t="s">
        <v>2852</v>
      </c>
    </row>
    <row r="904" customFormat="false" ht="18" hidden="false" customHeight="true" outlineLevel="0" collapsed="false">
      <c r="A904" s="47" t="n">
        <v>903</v>
      </c>
      <c r="B904" s="39" t="s">
        <v>171</v>
      </c>
      <c r="C904" s="39" t="s">
        <v>2056</v>
      </c>
      <c r="D904" s="39" t="s">
        <v>109</v>
      </c>
      <c r="E904" s="48" t="s">
        <v>1851</v>
      </c>
      <c r="F904" s="49" t="s">
        <v>151</v>
      </c>
      <c r="G904" s="39" t="s">
        <v>2853</v>
      </c>
    </row>
    <row r="905" customFormat="false" ht="18" hidden="false" customHeight="true" outlineLevel="0" collapsed="false">
      <c r="A905" s="47" t="n">
        <v>904</v>
      </c>
      <c r="B905" s="39" t="s">
        <v>2064</v>
      </c>
      <c r="C905" s="39" t="s">
        <v>2065</v>
      </c>
      <c r="D905" s="39" t="s">
        <v>2840</v>
      </c>
      <c r="E905" s="48" t="s">
        <v>2066</v>
      </c>
      <c r="F905" s="49" t="s">
        <v>3229</v>
      </c>
      <c r="G905" s="39" t="s">
        <v>2898</v>
      </c>
    </row>
    <row r="906" customFormat="false" ht="18" hidden="false" customHeight="true" outlineLevel="0" collapsed="false">
      <c r="A906" s="47" t="n">
        <v>905</v>
      </c>
      <c r="B906" s="39" t="s">
        <v>2064</v>
      </c>
      <c r="C906" s="39" t="s">
        <v>2065</v>
      </c>
      <c r="D906" s="39" t="s">
        <v>101</v>
      </c>
      <c r="E906" s="48" t="s">
        <v>2067</v>
      </c>
      <c r="F906" s="49" t="s">
        <v>701</v>
      </c>
      <c r="G906" s="39" t="s">
        <v>2843</v>
      </c>
    </row>
    <row r="907" customFormat="false" ht="18" hidden="false" customHeight="true" outlineLevel="0" collapsed="false">
      <c r="A907" s="47" t="n">
        <v>906</v>
      </c>
      <c r="B907" s="39" t="s">
        <v>2064</v>
      </c>
      <c r="C907" s="39" t="s">
        <v>2065</v>
      </c>
      <c r="D907" s="39" t="s">
        <v>102</v>
      </c>
      <c r="E907" s="48" t="s">
        <v>1505</v>
      </c>
      <c r="F907" s="49" t="s">
        <v>137</v>
      </c>
      <c r="G907" s="39" t="s">
        <v>2844</v>
      </c>
    </row>
    <row r="908" customFormat="false" ht="18" hidden="false" customHeight="true" outlineLevel="0" collapsed="false">
      <c r="A908" s="47" t="n">
        <v>907</v>
      </c>
      <c r="B908" s="39" t="s">
        <v>2064</v>
      </c>
      <c r="C908" s="39" t="s">
        <v>2065</v>
      </c>
      <c r="D908" s="39" t="s">
        <v>2848</v>
      </c>
      <c r="E908" s="48" t="s">
        <v>2069</v>
      </c>
      <c r="F908" s="49" t="s">
        <v>3230</v>
      </c>
      <c r="G908" s="39" t="s">
        <v>2847</v>
      </c>
    </row>
    <row r="909" customFormat="false" ht="18" hidden="false" customHeight="true" outlineLevel="0" collapsed="false">
      <c r="A909" s="47" t="n">
        <v>908</v>
      </c>
      <c r="B909" s="39" t="s">
        <v>2064</v>
      </c>
      <c r="C909" s="39" t="s">
        <v>2065</v>
      </c>
      <c r="D909" s="39" t="s">
        <v>2850</v>
      </c>
      <c r="E909" s="48" t="s">
        <v>2070</v>
      </c>
      <c r="F909" s="49" t="s">
        <v>2741</v>
      </c>
      <c r="G909" s="39" t="s">
        <v>2852</v>
      </c>
    </row>
    <row r="910" customFormat="false" ht="18" hidden="false" customHeight="true" outlineLevel="0" collapsed="false">
      <c r="A910" s="47" t="n">
        <v>909</v>
      </c>
      <c r="B910" s="39" t="s">
        <v>158</v>
      </c>
      <c r="C910" s="39" t="s">
        <v>2071</v>
      </c>
      <c r="D910" s="39" t="s">
        <v>2840</v>
      </c>
      <c r="E910" s="48" t="s">
        <v>2072</v>
      </c>
      <c r="F910" s="49" t="s">
        <v>3231</v>
      </c>
      <c r="G910" s="39" t="s">
        <v>2898</v>
      </c>
    </row>
    <row r="911" customFormat="false" ht="18" hidden="false" customHeight="true" outlineLevel="0" collapsed="false">
      <c r="A911" s="47" t="n">
        <v>910</v>
      </c>
      <c r="B911" s="39" t="s">
        <v>158</v>
      </c>
      <c r="C911" s="39" t="s">
        <v>2071</v>
      </c>
      <c r="D911" s="39" t="s">
        <v>101</v>
      </c>
      <c r="E911" s="48" t="s">
        <v>2073</v>
      </c>
      <c r="F911" s="49" t="s">
        <v>157</v>
      </c>
      <c r="G911" s="39" t="s">
        <v>2843</v>
      </c>
    </row>
    <row r="912" customFormat="false" ht="18" hidden="false" customHeight="true" outlineLevel="0" collapsed="false">
      <c r="A912" s="47" t="n">
        <v>911</v>
      </c>
      <c r="B912" s="39" t="s">
        <v>158</v>
      </c>
      <c r="C912" s="39" t="s">
        <v>2071</v>
      </c>
      <c r="D912" s="39" t="s">
        <v>2848</v>
      </c>
      <c r="E912" s="48" t="s">
        <v>2075</v>
      </c>
      <c r="F912" s="49" t="s">
        <v>3232</v>
      </c>
      <c r="G912" s="39" t="s">
        <v>2847</v>
      </c>
    </row>
    <row r="913" customFormat="false" ht="18" hidden="false" customHeight="true" outlineLevel="0" collapsed="false">
      <c r="A913" s="47" t="n">
        <v>912</v>
      </c>
      <c r="B913" s="39" t="s">
        <v>158</v>
      </c>
      <c r="C913" s="39" t="s">
        <v>2071</v>
      </c>
      <c r="D913" s="39" t="s">
        <v>2850</v>
      </c>
      <c r="E913" s="48" t="s">
        <v>2076</v>
      </c>
      <c r="F913" s="49" t="s">
        <v>3233</v>
      </c>
      <c r="G913" s="39" t="s">
        <v>2852</v>
      </c>
    </row>
    <row r="914" customFormat="false" ht="18" hidden="false" customHeight="true" outlineLevel="0" collapsed="false">
      <c r="A914" s="47" t="n">
        <v>913</v>
      </c>
      <c r="B914" s="39" t="s">
        <v>158</v>
      </c>
      <c r="C914" s="39" t="s">
        <v>2071</v>
      </c>
      <c r="D914" s="39" t="s">
        <v>109</v>
      </c>
      <c r="E914" s="48" t="s">
        <v>1836</v>
      </c>
      <c r="F914" s="49" t="s">
        <v>151</v>
      </c>
      <c r="G914" s="39" t="s">
        <v>2853</v>
      </c>
    </row>
    <row r="915" customFormat="false" ht="18" hidden="false" customHeight="true" outlineLevel="0" collapsed="false">
      <c r="A915" s="47" t="n">
        <v>914</v>
      </c>
      <c r="B915" s="39" t="s">
        <v>968</v>
      </c>
      <c r="C915" s="39" t="s">
        <v>2077</v>
      </c>
      <c r="D915" s="39" t="s">
        <v>2840</v>
      </c>
      <c r="E915" s="48" t="s">
        <v>2078</v>
      </c>
      <c r="F915" s="49" t="s">
        <v>3234</v>
      </c>
      <c r="G915" s="39" t="s">
        <v>2898</v>
      </c>
    </row>
    <row r="916" customFormat="false" ht="18" hidden="false" customHeight="true" outlineLevel="0" collapsed="false">
      <c r="A916" s="47" t="n">
        <v>915</v>
      </c>
      <c r="B916" s="39" t="s">
        <v>968</v>
      </c>
      <c r="C916" s="39" t="s">
        <v>2077</v>
      </c>
      <c r="D916" s="39" t="s">
        <v>101</v>
      </c>
      <c r="E916" s="48" t="s">
        <v>2079</v>
      </c>
      <c r="F916" s="49" t="s">
        <v>967</v>
      </c>
      <c r="G916" s="39" t="s">
        <v>2843</v>
      </c>
    </row>
    <row r="917" customFormat="false" ht="18" hidden="false" customHeight="true" outlineLevel="0" collapsed="false">
      <c r="A917" s="47" t="n">
        <v>916</v>
      </c>
      <c r="B917" s="39" t="s">
        <v>968</v>
      </c>
      <c r="C917" s="39" t="s">
        <v>2077</v>
      </c>
      <c r="D917" s="39" t="s">
        <v>2845</v>
      </c>
      <c r="E917" s="48" t="s">
        <v>2080</v>
      </c>
      <c r="F917" s="49" t="s">
        <v>3114</v>
      </c>
      <c r="G917" s="39" t="s">
        <v>2847</v>
      </c>
    </row>
    <row r="918" customFormat="false" ht="18" hidden="false" customHeight="true" outlineLevel="0" collapsed="false">
      <c r="A918" s="47" t="n">
        <v>917</v>
      </c>
      <c r="B918" s="39" t="s">
        <v>968</v>
      </c>
      <c r="C918" s="39" t="s">
        <v>2077</v>
      </c>
      <c r="D918" s="39" t="s">
        <v>2848</v>
      </c>
      <c r="E918" s="48" t="s">
        <v>2081</v>
      </c>
      <c r="F918" s="49" t="s">
        <v>3235</v>
      </c>
      <c r="G918" s="39" t="s">
        <v>2847</v>
      </c>
    </row>
    <row r="919" customFormat="false" ht="18" hidden="false" customHeight="true" outlineLevel="0" collapsed="false">
      <c r="A919" s="47" t="n">
        <v>918</v>
      </c>
      <c r="B919" s="39" t="s">
        <v>968</v>
      </c>
      <c r="C919" s="39" t="s">
        <v>2077</v>
      </c>
      <c r="D919" s="39" t="s">
        <v>2850</v>
      </c>
      <c r="E919" s="48" t="s">
        <v>2082</v>
      </c>
      <c r="F919" s="49" t="s">
        <v>3236</v>
      </c>
      <c r="G919" s="39" t="s">
        <v>2852</v>
      </c>
    </row>
    <row r="920" customFormat="false" ht="18" hidden="false" customHeight="true" outlineLevel="0" collapsed="false">
      <c r="A920" s="47" t="n">
        <v>919</v>
      </c>
      <c r="B920" s="39" t="s">
        <v>968</v>
      </c>
      <c r="C920" s="39" t="s">
        <v>2077</v>
      </c>
      <c r="D920" s="39" t="s">
        <v>109</v>
      </c>
      <c r="E920" s="48" t="s">
        <v>1836</v>
      </c>
      <c r="F920" s="49" t="s">
        <v>151</v>
      </c>
      <c r="G920" s="39" t="s">
        <v>2853</v>
      </c>
    </row>
    <row r="921" customFormat="false" ht="18" hidden="false" customHeight="true" outlineLevel="0" collapsed="false">
      <c r="A921" s="47" t="n">
        <v>920</v>
      </c>
      <c r="B921" s="39" t="s">
        <v>502</v>
      </c>
      <c r="C921" s="39" t="s">
        <v>2083</v>
      </c>
      <c r="D921" s="39" t="s">
        <v>101</v>
      </c>
      <c r="E921" s="48" t="s">
        <v>2085</v>
      </c>
      <c r="F921" s="49" t="s">
        <v>501</v>
      </c>
      <c r="G921" s="39" t="s">
        <v>2843</v>
      </c>
    </row>
    <row r="922" customFormat="false" ht="18" hidden="false" customHeight="true" outlineLevel="0" collapsed="false">
      <c r="A922" s="47" t="n">
        <v>921</v>
      </c>
      <c r="B922" s="39" t="s">
        <v>502</v>
      </c>
      <c r="C922" s="39" t="s">
        <v>2083</v>
      </c>
      <c r="D922" s="39" t="s">
        <v>102</v>
      </c>
      <c r="E922" s="48" t="s">
        <v>1975</v>
      </c>
      <c r="F922" s="49" t="s">
        <v>239</v>
      </c>
      <c r="G922" s="39" t="s">
        <v>2844</v>
      </c>
    </row>
    <row r="923" customFormat="false" ht="18" hidden="false" customHeight="true" outlineLevel="0" collapsed="false">
      <c r="A923" s="47" t="n">
        <v>922</v>
      </c>
      <c r="B923" s="39" t="s">
        <v>502</v>
      </c>
      <c r="C923" s="39" t="s">
        <v>2083</v>
      </c>
      <c r="D923" s="39" t="s">
        <v>2848</v>
      </c>
      <c r="E923" s="48" t="s">
        <v>2087</v>
      </c>
      <c r="F923" s="49" t="s">
        <v>3237</v>
      </c>
      <c r="G923" s="39" t="s">
        <v>2847</v>
      </c>
    </row>
    <row r="924" customFormat="false" ht="18" hidden="false" customHeight="true" outlineLevel="0" collapsed="false">
      <c r="A924" s="47" t="n">
        <v>923</v>
      </c>
      <c r="B924" s="39" t="s">
        <v>502</v>
      </c>
      <c r="C924" s="39" t="s">
        <v>2083</v>
      </c>
      <c r="D924" s="39" t="s">
        <v>2850</v>
      </c>
      <c r="E924" s="48" t="s">
        <v>2089</v>
      </c>
      <c r="F924" s="49" t="s">
        <v>3238</v>
      </c>
      <c r="G924" s="39" t="s">
        <v>2852</v>
      </c>
    </row>
    <row r="925" customFormat="false" ht="18" hidden="false" customHeight="true" outlineLevel="0" collapsed="false">
      <c r="A925" s="47" t="n">
        <v>924</v>
      </c>
      <c r="B925" s="39" t="s">
        <v>2090</v>
      </c>
      <c r="C925" s="39" t="s">
        <v>2091</v>
      </c>
      <c r="D925" s="39" t="s">
        <v>2840</v>
      </c>
      <c r="E925" s="48" t="s">
        <v>2092</v>
      </c>
      <c r="F925" s="49" t="s">
        <v>2517</v>
      </c>
      <c r="G925" s="39" t="s">
        <v>2898</v>
      </c>
    </row>
    <row r="926" customFormat="false" ht="18" hidden="false" customHeight="true" outlineLevel="0" collapsed="false">
      <c r="A926" s="47" t="n">
        <v>925</v>
      </c>
      <c r="B926" s="39" t="s">
        <v>2090</v>
      </c>
      <c r="C926" s="39" t="s">
        <v>2091</v>
      </c>
      <c r="D926" s="39" t="s">
        <v>100</v>
      </c>
      <c r="E926" s="48" t="s">
        <v>2093</v>
      </c>
      <c r="F926" s="49" t="s">
        <v>723</v>
      </c>
      <c r="G926" s="39" t="s">
        <v>2878</v>
      </c>
    </row>
    <row r="927" customFormat="false" ht="18" hidden="false" customHeight="true" outlineLevel="0" collapsed="false">
      <c r="A927" s="47" t="n">
        <v>926</v>
      </c>
      <c r="B927" s="39" t="s">
        <v>2090</v>
      </c>
      <c r="C927" s="39" t="s">
        <v>2091</v>
      </c>
      <c r="D927" s="39" t="s">
        <v>101</v>
      </c>
      <c r="E927" s="48" t="s">
        <v>2094</v>
      </c>
      <c r="F927" s="49" t="s">
        <v>724</v>
      </c>
      <c r="G927" s="39" t="s">
        <v>2843</v>
      </c>
    </row>
    <row r="928" customFormat="false" ht="18" hidden="false" customHeight="true" outlineLevel="0" collapsed="false">
      <c r="A928" s="47" t="n">
        <v>927</v>
      </c>
      <c r="B928" s="39" t="s">
        <v>2090</v>
      </c>
      <c r="C928" s="39" t="s">
        <v>2091</v>
      </c>
      <c r="D928" s="39" t="s">
        <v>102</v>
      </c>
      <c r="E928" s="48" t="s">
        <v>1577</v>
      </c>
      <c r="F928" s="49" t="s">
        <v>217</v>
      </c>
      <c r="G928" s="39" t="s">
        <v>2844</v>
      </c>
    </row>
    <row r="929" customFormat="false" ht="18" hidden="false" customHeight="true" outlineLevel="0" collapsed="false">
      <c r="A929" s="47" t="n">
        <v>928</v>
      </c>
      <c r="B929" s="39" t="s">
        <v>2090</v>
      </c>
      <c r="C929" s="39" t="s">
        <v>2091</v>
      </c>
      <c r="D929" s="39" t="s">
        <v>77</v>
      </c>
      <c r="E929" s="48" t="s">
        <v>3147</v>
      </c>
      <c r="F929" s="49" t="s">
        <v>79</v>
      </c>
      <c r="G929" s="39" t="s">
        <v>3148</v>
      </c>
    </row>
    <row r="930" customFormat="false" ht="18" hidden="false" customHeight="true" outlineLevel="0" collapsed="false">
      <c r="A930" s="47" t="n">
        <v>929</v>
      </c>
      <c r="B930" s="39" t="s">
        <v>2090</v>
      </c>
      <c r="C930" s="39" t="s">
        <v>2091</v>
      </c>
      <c r="D930" s="39" t="s">
        <v>2845</v>
      </c>
      <c r="E930" s="48" t="s">
        <v>2095</v>
      </c>
      <c r="F930" s="49" t="s">
        <v>3239</v>
      </c>
      <c r="G930" s="39" t="s">
        <v>2847</v>
      </c>
    </row>
    <row r="931" customFormat="false" ht="18" hidden="false" customHeight="true" outlineLevel="0" collapsed="false">
      <c r="A931" s="47" t="n">
        <v>930</v>
      </c>
      <c r="B931" s="39" t="s">
        <v>2090</v>
      </c>
      <c r="C931" s="39" t="s">
        <v>2091</v>
      </c>
      <c r="D931" s="39" t="s">
        <v>2850</v>
      </c>
      <c r="E931" s="48" t="s">
        <v>2097</v>
      </c>
      <c r="F931" s="49" t="s">
        <v>3240</v>
      </c>
      <c r="G931" s="39" t="s">
        <v>2852</v>
      </c>
    </row>
    <row r="932" customFormat="false" ht="18" hidden="false" customHeight="true" outlineLevel="0" collapsed="false">
      <c r="A932" s="47" t="n">
        <v>931</v>
      </c>
      <c r="B932" s="39" t="s">
        <v>2098</v>
      </c>
      <c r="C932" s="39" t="s">
        <v>2099</v>
      </c>
      <c r="D932" s="39" t="s">
        <v>2840</v>
      </c>
      <c r="E932" s="48" t="s">
        <v>2100</v>
      </c>
      <c r="F932" s="49" t="s">
        <v>1317</v>
      </c>
      <c r="G932" s="39" t="s">
        <v>2898</v>
      </c>
    </row>
    <row r="933" customFormat="false" ht="18" hidden="false" customHeight="true" outlineLevel="0" collapsed="false">
      <c r="A933" s="47" t="n">
        <v>932</v>
      </c>
      <c r="B933" s="39" t="s">
        <v>2098</v>
      </c>
      <c r="C933" s="39" t="s">
        <v>2099</v>
      </c>
      <c r="D933" s="39" t="s">
        <v>100</v>
      </c>
      <c r="E933" s="48" t="s">
        <v>2101</v>
      </c>
      <c r="F933" s="49" t="s">
        <v>607</v>
      </c>
      <c r="G933" s="39" t="s">
        <v>2870</v>
      </c>
    </row>
    <row r="934" customFormat="false" ht="18" hidden="false" customHeight="true" outlineLevel="0" collapsed="false">
      <c r="A934" s="47" t="n">
        <v>933</v>
      </c>
      <c r="B934" s="39" t="s">
        <v>2098</v>
      </c>
      <c r="C934" s="39" t="s">
        <v>2099</v>
      </c>
      <c r="D934" s="39" t="s">
        <v>101</v>
      </c>
      <c r="E934" s="48" t="s">
        <v>2102</v>
      </c>
      <c r="F934" s="49" t="s">
        <v>608</v>
      </c>
      <c r="G934" s="39" t="s">
        <v>2843</v>
      </c>
    </row>
    <row r="935" customFormat="false" ht="18" hidden="false" customHeight="true" outlineLevel="0" collapsed="false">
      <c r="A935" s="47" t="n">
        <v>934</v>
      </c>
      <c r="B935" s="39" t="s">
        <v>2098</v>
      </c>
      <c r="C935" s="39" t="s">
        <v>2099</v>
      </c>
      <c r="D935" s="39" t="s">
        <v>77</v>
      </c>
      <c r="E935" s="48" t="s">
        <v>1243</v>
      </c>
      <c r="F935" s="49" t="s">
        <v>79</v>
      </c>
      <c r="G935" s="39" t="s">
        <v>2863</v>
      </c>
    </row>
    <row r="936" customFormat="false" ht="18" hidden="false" customHeight="true" outlineLevel="0" collapsed="false">
      <c r="A936" s="47" t="n">
        <v>935</v>
      </c>
      <c r="B936" s="39" t="s">
        <v>2098</v>
      </c>
      <c r="C936" s="39" t="s">
        <v>2099</v>
      </c>
      <c r="D936" s="39" t="s">
        <v>2845</v>
      </c>
      <c r="E936" s="48" t="s">
        <v>2103</v>
      </c>
      <c r="F936" s="49" t="s">
        <v>2993</v>
      </c>
      <c r="G936" s="39" t="s">
        <v>2847</v>
      </c>
    </row>
    <row r="937" customFormat="false" ht="18" hidden="false" customHeight="true" outlineLevel="0" collapsed="false">
      <c r="A937" s="47" t="n">
        <v>936</v>
      </c>
      <c r="B937" s="39" t="s">
        <v>2098</v>
      </c>
      <c r="C937" s="39" t="s">
        <v>2099</v>
      </c>
      <c r="D937" s="39" t="s">
        <v>2848</v>
      </c>
      <c r="E937" s="48" t="s">
        <v>2104</v>
      </c>
      <c r="F937" s="49" t="s">
        <v>3241</v>
      </c>
      <c r="G937" s="39" t="s">
        <v>2847</v>
      </c>
    </row>
    <row r="938" customFormat="false" ht="18" hidden="false" customHeight="true" outlineLevel="0" collapsed="false">
      <c r="A938" s="47" t="n">
        <v>937</v>
      </c>
      <c r="B938" s="39" t="s">
        <v>2098</v>
      </c>
      <c r="C938" s="39" t="s">
        <v>2099</v>
      </c>
      <c r="D938" s="39" t="s">
        <v>2850</v>
      </c>
      <c r="E938" s="48" t="s">
        <v>2106</v>
      </c>
      <c r="F938" s="49" t="s">
        <v>3242</v>
      </c>
      <c r="G938" s="39" t="s">
        <v>2852</v>
      </c>
    </row>
    <row r="939" customFormat="false" ht="18" hidden="false" customHeight="true" outlineLevel="0" collapsed="false">
      <c r="A939" s="47" t="n">
        <v>938</v>
      </c>
      <c r="B939" s="39" t="s">
        <v>2098</v>
      </c>
      <c r="C939" s="39" t="s">
        <v>2099</v>
      </c>
      <c r="D939" s="39" t="s">
        <v>109</v>
      </c>
      <c r="E939" s="48" t="s">
        <v>1836</v>
      </c>
      <c r="F939" s="49" t="s">
        <v>151</v>
      </c>
      <c r="G939" s="39" t="s">
        <v>2853</v>
      </c>
    </row>
    <row r="940" customFormat="false" ht="18" hidden="false" customHeight="true" outlineLevel="0" collapsed="false">
      <c r="A940" s="47" t="n">
        <v>939</v>
      </c>
      <c r="B940" s="39" t="s">
        <v>2107</v>
      </c>
      <c r="C940" s="39" t="s">
        <v>2108</v>
      </c>
      <c r="D940" s="39" t="s">
        <v>2840</v>
      </c>
      <c r="E940" s="48" t="s">
        <v>2109</v>
      </c>
      <c r="F940" s="49" t="s">
        <v>2914</v>
      </c>
      <c r="G940" s="39" t="s">
        <v>2898</v>
      </c>
    </row>
    <row r="941" customFormat="false" ht="18" hidden="false" customHeight="true" outlineLevel="0" collapsed="false">
      <c r="A941" s="47" t="n">
        <v>940</v>
      </c>
      <c r="B941" s="39" t="s">
        <v>2107</v>
      </c>
      <c r="C941" s="39" t="s">
        <v>2108</v>
      </c>
      <c r="D941" s="39" t="s">
        <v>100</v>
      </c>
      <c r="E941" s="48" t="s">
        <v>2110</v>
      </c>
      <c r="F941" s="49" t="s">
        <v>804</v>
      </c>
      <c r="G941" s="39" t="s">
        <v>2878</v>
      </c>
    </row>
    <row r="942" customFormat="false" ht="18" hidden="false" customHeight="true" outlineLevel="0" collapsed="false">
      <c r="A942" s="47" t="n">
        <v>941</v>
      </c>
      <c r="B942" s="39" t="s">
        <v>2107</v>
      </c>
      <c r="C942" s="39" t="s">
        <v>2108</v>
      </c>
      <c r="D942" s="39" t="s">
        <v>101</v>
      </c>
      <c r="E942" s="48" t="s">
        <v>2111</v>
      </c>
      <c r="F942" s="49" t="s">
        <v>805</v>
      </c>
      <c r="G942" s="39" t="s">
        <v>2843</v>
      </c>
    </row>
    <row r="943" customFormat="false" ht="18" hidden="false" customHeight="true" outlineLevel="0" collapsed="false">
      <c r="A943" s="47" t="n">
        <v>942</v>
      </c>
      <c r="B943" s="39" t="s">
        <v>2107</v>
      </c>
      <c r="C943" s="39" t="s">
        <v>2108</v>
      </c>
      <c r="D943" s="39" t="s">
        <v>77</v>
      </c>
      <c r="E943" s="48" t="s">
        <v>3147</v>
      </c>
      <c r="F943" s="49" t="s">
        <v>83</v>
      </c>
      <c r="G943" s="39" t="s">
        <v>3148</v>
      </c>
    </row>
    <row r="944" customFormat="false" ht="18" hidden="false" customHeight="true" outlineLevel="0" collapsed="false">
      <c r="A944" s="47" t="n">
        <v>943</v>
      </c>
      <c r="B944" s="39" t="s">
        <v>2107</v>
      </c>
      <c r="C944" s="39" t="s">
        <v>2108</v>
      </c>
      <c r="D944" s="39" t="s">
        <v>2845</v>
      </c>
      <c r="E944" s="48" t="s">
        <v>2112</v>
      </c>
      <c r="F944" s="49" t="s">
        <v>3243</v>
      </c>
      <c r="G944" s="39" t="s">
        <v>2847</v>
      </c>
    </row>
    <row r="945" customFormat="false" ht="18" hidden="false" customHeight="true" outlineLevel="0" collapsed="false">
      <c r="A945" s="47" t="n">
        <v>944</v>
      </c>
      <c r="B945" s="39" t="s">
        <v>2107</v>
      </c>
      <c r="C945" s="39" t="s">
        <v>2108</v>
      </c>
      <c r="D945" s="39" t="s">
        <v>2848</v>
      </c>
      <c r="E945" s="48" t="s">
        <v>2113</v>
      </c>
      <c r="F945" s="49" t="s">
        <v>1988</v>
      </c>
      <c r="G945" s="39" t="s">
        <v>2847</v>
      </c>
    </row>
    <row r="946" customFormat="false" ht="18" hidden="false" customHeight="true" outlineLevel="0" collapsed="false">
      <c r="A946" s="47" t="n">
        <v>945</v>
      </c>
      <c r="B946" s="39" t="s">
        <v>2107</v>
      </c>
      <c r="C946" s="39" t="s">
        <v>2108</v>
      </c>
      <c r="D946" s="39" t="s">
        <v>106</v>
      </c>
      <c r="E946" s="48" t="s">
        <v>1849</v>
      </c>
      <c r="F946" s="49" t="s">
        <v>1149</v>
      </c>
      <c r="G946" s="39" t="s">
        <v>3150</v>
      </c>
    </row>
    <row r="947" customFormat="false" ht="18" hidden="false" customHeight="true" outlineLevel="0" collapsed="false">
      <c r="A947" s="47" t="n">
        <v>946</v>
      </c>
      <c r="B947" s="39" t="s">
        <v>2107</v>
      </c>
      <c r="C947" s="39" t="s">
        <v>2108</v>
      </c>
      <c r="D947" s="39" t="s">
        <v>2850</v>
      </c>
      <c r="E947" s="48" t="s">
        <v>2114</v>
      </c>
      <c r="F947" s="49" t="s">
        <v>3244</v>
      </c>
      <c r="G947" s="39" t="s">
        <v>2852</v>
      </c>
    </row>
    <row r="948" customFormat="false" ht="18" hidden="false" customHeight="true" outlineLevel="0" collapsed="false">
      <c r="A948" s="47" t="n">
        <v>947</v>
      </c>
      <c r="B948" s="39" t="s">
        <v>2107</v>
      </c>
      <c r="C948" s="39" t="s">
        <v>2108</v>
      </c>
      <c r="D948" s="39" t="s">
        <v>109</v>
      </c>
      <c r="E948" s="48" t="s">
        <v>1836</v>
      </c>
      <c r="F948" s="49" t="s">
        <v>151</v>
      </c>
      <c r="G948" s="39" t="s">
        <v>2853</v>
      </c>
    </row>
    <row r="949" customFormat="false" ht="18" hidden="false" customHeight="true" outlineLevel="0" collapsed="false">
      <c r="A949" s="47" t="n">
        <v>948</v>
      </c>
      <c r="B949" s="39" t="s">
        <v>2115</v>
      </c>
      <c r="C949" s="39" t="s">
        <v>2116</v>
      </c>
      <c r="D949" s="39" t="s">
        <v>101</v>
      </c>
      <c r="E949" s="48" t="s">
        <v>2118</v>
      </c>
      <c r="F949" s="49" t="s">
        <v>525</v>
      </c>
      <c r="G949" s="39" t="s">
        <v>2843</v>
      </c>
    </row>
    <row r="950" customFormat="false" ht="18" hidden="false" customHeight="true" outlineLevel="0" collapsed="false">
      <c r="A950" s="47" t="n">
        <v>949</v>
      </c>
      <c r="B950" s="39" t="s">
        <v>2115</v>
      </c>
      <c r="C950" s="39" t="s">
        <v>2116</v>
      </c>
      <c r="D950" s="39" t="s">
        <v>2845</v>
      </c>
      <c r="E950" s="48" t="s">
        <v>2119</v>
      </c>
      <c r="F950" s="49" t="s">
        <v>3104</v>
      </c>
      <c r="G950" s="39" t="s">
        <v>2847</v>
      </c>
    </row>
    <row r="951" customFormat="false" ht="18" hidden="false" customHeight="true" outlineLevel="0" collapsed="false">
      <c r="A951" s="47" t="n">
        <v>950</v>
      </c>
      <c r="B951" s="39" t="s">
        <v>2115</v>
      </c>
      <c r="C951" s="39" t="s">
        <v>2116</v>
      </c>
      <c r="D951" s="39" t="s">
        <v>2848</v>
      </c>
      <c r="E951" s="48" t="s">
        <v>2120</v>
      </c>
      <c r="F951" s="49" t="s">
        <v>3245</v>
      </c>
      <c r="G951" s="39" t="s">
        <v>2847</v>
      </c>
    </row>
    <row r="952" customFormat="false" ht="18" hidden="false" customHeight="true" outlineLevel="0" collapsed="false">
      <c r="A952" s="47" t="n">
        <v>951</v>
      </c>
      <c r="B952" s="39" t="s">
        <v>2115</v>
      </c>
      <c r="C952" s="39" t="s">
        <v>2116</v>
      </c>
      <c r="D952" s="39" t="s">
        <v>2850</v>
      </c>
      <c r="E952" s="48" t="s">
        <v>2121</v>
      </c>
      <c r="F952" s="49" t="s">
        <v>3246</v>
      </c>
      <c r="G952" s="39" t="s">
        <v>2852</v>
      </c>
    </row>
    <row r="953" customFormat="false" ht="18" hidden="false" customHeight="true" outlineLevel="0" collapsed="false">
      <c r="A953" s="47" t="n">
        <v>952</v>
      </c>
      <c r="B953" s="39" t="s">
        <v>2115</v>
      </c>
      <c r="C953" s="39" t="s">
        <v>2116</v>
      </c>
      <c r="D953" s="39" t="s">
        <v>109</v>
      </c>
      <c r="E953" s="48" t="s">
        <v>1836</v>
      </c>
      <c r="F953" s="49" t="s">
        <v>151</v>
      </c>
      <c r="G953" s="39" t="s">
        <v>2853</v>
      </c>
    </row>
    <row r="954" customFormat="false" ht="18" hidden="false" customHeight="true" outlineLevel="0" collapsed="false">
      <c r="A954" s="47" t="n">
        <v>953</v>
      </c>
      <c r="B954" s="39" t="s">
        <v>378</v>
      </c>
      <c r="C954" s="39" t="s">
        <v>2122</v>
      </c>
      <c r="D954" s="39" t="s">
        <v>2840</v>
      </c>
      <c r="E954" s="48" t="s">
        <v>2123</v>
      </c>
      <c r="F954" s="49" t="s">
        <v>3247</v>
      </c>
      <c r="G954" s="39" t="s">
        <v>2898</v>
      </c>
    </row>
    <row r="955" customFormat="false" ht="18" hidden="false" customHeight="true" outlineLevel="0" collapsed="false">
      <c r="A955" s="47" t="n">
        <v>954</v>
      </c>
      <c r="B955" s="39" t="s">
        <v>378</v>
      </c>
      <c r="C955" s="39" t="s">
        <v>2122</v>
      </c>
      <c r="D955" s="39" t="s">
        <v>101</v>
      </c>
      <c r="E955" s="48" t="s">
        <v>2124</v>
      </c>
      <c r="F955" s="49" t="s">
        <v>377</v>
      </c>
      <c r="G955" s="39" t="s">
        <v>2843</v>
      </c>
    </row>
    <row r="956" customFormat="false" ht="18" hidden="false" customHeight="true" outlineLevel="0" collapsed="false">
      <c r="A956" s="47" t="n">
        <v>955</v>
      </c>
      <c r="B956" s="39" t="s">
        <v>378</v>
      </c>
      <c r="C956" s="39" t="s">
        <v>2122</v>
      </c>
      <c r="D956" s="39" t="s">
        <v>2845</v>
      </c>
      <c r="E956" s="48" t="s">
        <v>1948</v>
      </c>
      <c r="F956" s="49" t="s">
        <v>3192</v>
      </c>
      <c r="G956" s="39" t="s">
        <v>2847</v>
      </c>
    </row>
    <row r="957" customFormat="false" ht="18" hidden="false" customHeight="true" outlineLevel="0" collapsed="false">
      <c r="A957" s="47" t="n">
        <v>956</v>
      </c>
      <c r="B957" s="39" t="s">
        <v>378</v>
      </c>
      <c r="C957" s="39" t="s">
        <v>2122</v>
      </c>
      <c r="D957" s="39" t="s">
        <v>2848</v>
      </c>
      <c r="E957" s="48" t="s">
        <v>2125</v>
      </c>
      <c r="F957" s="49" t="s">
        <v>3248</v>
      </c>
      <c r="G957" s="39" t="s">
        <v>2847</v>
      </c>
    </row>
    <row r="958" customFormat="false" ht="18" hidden="false" customHeight="true" outlineLevel="0" collapsed="false">
      <c r="A958" s="47" t="n">
        <v>957</v>
      </c>
      <c r="B958" s="39" t="s">
        <v>378</v>
      </c>
      <c r="C958" s="39" t="s">
        <v>2122</v>
      </c>
      <c r="D958" s="39" t="s">
        <v>106</v>
      </c>
      <c r="E958" s="48" t="s">
        <v>1879</v>
      </c>
      <c r="F958" s="49" t="s">
        <v>1224</v>
      </c>
      <c r="G958" s="39" t="s">
        <v>3150</v>
      </c>
    </row>
    <row r="959" customFormat="false" ht="18" hidden="false" customHeight="true" outlineLevel="0" collapsed="false">
      <c r="A959" s="47" t="n">
        <v>958</v>
      </c>
      <c r="B959" s="39" t="s">
        <v>378</v>
      </c>
      <c r="C959" s="39" t="s">
        <v>2122</v>
      </c>
      <c r="D959" s="39" t="s">
        <v>2850</v>
      </c>
      <c r="E959" s="48" t="s">
        <v>2126</v>
      </c>
      <c r="F959" s="49" t="s">
        <v>3249</v>
      </c>
      <c r="G959" s="39" t="s">
        <v>2852</v>
      </c>
    </row>
    <row r="960" customFormat="false" ht="18" hidden="false" customHeight="true" outlineLevel="0" collapsed="false">
      <c r="A960" s="47" t="n">
        <v>959</v>
      </c>
      <c r="B960" s="39" t="s">
        <v>2127</v>
      </c>
      <c r="C960" s="39" t="s">
        <v>2128</v>
      </c>
      <c r="D960" s="39" t="s">
        <v>100</v>
      </c>
      <c r="E960" s="48" t="s">
        <v>2129</v>
      </c>
      <c r="F960" s="49" t="s">
        <v>652</v>
      </c>
      <c r="G960" s="39" t="s">
        <v>2878</v>
      </c>
    </row>
    <row r="961" customFormat="false" ht="18" hidden="false" customHeight="true" outlineLevel="0" collapsed="false">
      <c r="A961" s="47" t="n">
        <v>960</v>
      </c>
      <c r="B961" s="39" t="s">
        <v>2127</v>
      </c>
      <c r="C961" s="39" t="s">
        <v>2128</v>
      </c>
      <c r="D961" s="39" t="s">
        <v>101</v>
      </c>
      <c r="E961" s="48" t="s">
        <v>2130</v>
      </c>
      <c r="F961" s="49" t="s">
        <v>653</v>
      </c>
      <c r="G961" s="39" t="s">
        <v>2843</v>
      </c>
    </row>
    <row r="962" customFormat="false" ht="18" hidden="false" customHeight="true" outlineLevel="0" collapsed="false">
      <c r="A962" s="47" t="n">
        <v>961</v>
      </c>
      <c r="B962" s="39" t="s">
        <v>2127</v>
      </c>
      <c r="C962" s="39" t="s">
        <v>2128</v>
      </c>
      <c r="D962" s="39" t="s">
        <v>102</v>
      </c>
      <c r="E962" s="48" t="s">
        <v>1577</v>
      </c>
      <c r="F962" s="49" t="s">
        <v>217</v>
      </c>
      <c r="G962" s="39" t="s">
        <v>2844</v>
      </c>
    </row>
    <row r="963" customFormat="false" ht="18" hidden="false" customHeight="true" outlineLevel="0" collapsed="false">
      <c r="A963" s="47" t="n">
        <v>962</v>
      </c>
      <c r="B963" s="39" t="s">
        <v>2127</v>
      </c>
      <c r="C963" s="39" t="s">
        <v>2128</v>
      </c>
      <c r="D963" s="39" t="s">
        <v>77</v>
      </c>
      <c r="E963" s="48" t="s">
        <v>3147</v>
      </c>
      <c r="F963" s="49" t="s">
        <v>79</v>
      </c>
      <c r="G963" s="39" t="s">
        <v>3148</v>
      </c>
    </row>
    <row r="964" customFormat="false" ht="18" hidden="false" customHeight="true" outlineLevel="0" collapsed="false">
      <c r="A964" s="47" t="n">
        <v>963</v>
      </c>
      <c r="B964" s="39" t="s">
        <v>2127</v>
      </c>
      <c r="C964" s="39" t="s">
        <v>2128</v>
      </c>
      <c r="D964" s="39" t="s">
        <v>2845</v>
      </c>
      <c r="E964" s="48" t="s">
        <v>2131</v>
      </c>
      <c r="F964" s="49" t="s">
        <v>3250</v>
      </c>
      <c r="G964" s="39" t="s">
        <v>2847</v>
      </c>
    </row>
    <row r="965" customFormat="false" ht="18" hidden="false" customHeight="true" outlineLevel="0" collapsed="false">
      <c r="A965" s="47" t="n">
        <v>964</v>
      </c>
      <c r="B965" s="39" t="s">
        <v>2127</v>
      </c>
      <c r="C965" s="39" t="s">
        <v>2128</v>
      </c>
      <c r="D965" s="39" t="s">
        <v>2848</v>
      </c>
      <c r="E965" s="48" t="s">
        <v>2132</v>
      </c>
      <c r="F965" s="49" t="s">
        <v>2965</v>
      </c>
      <c r="G965" s="39" t="s">
        <v>2847</v>
      </c>
    </row>
    <row r="966" customFormat="false" ht="18" hidden="false" customHeight="true" outlineLevel="0" collapsed="false">
      <c r="A966" s="47" t="n">
        <v>965</v>
      </c>
      <c r="B966" s="39" t="s">
        <v>2127</v>
      </c>
      <c r="C966" s="39" t="s">
        <v>2128</v>
      </c>
      <c r="D966" s="39" t="s">
        <v>106</v>
      </c>
      <c r="E966" s="48" t="s">
        <v>1849</v>
      </c>
      <c r="F966" s="49" t="s">
        <v>1149</v>
      </c>
      <c r="G966" s="39" t="s">
        <v>3150</v>
      </c>
    </row>
    <row r="967" customFormat="false" ht="18" hidden="false" customHeight="true" outlineLevel="0" collapsed="false">
      <c r="A967" s="47" t="n">
        <v>966</v>
      </c>
      <c r="B967" s="39" t="s">
        <v>2127</v>
      </c>
      <c r="C967" s="39" t="s">
        <v>2128</v>
      </c>
      <c r="D967" s="39" t="s">
        <v>2850</v>
      </c>
      <c r="E967" s="48" t="s">
        <v>2133</v>
      </c>
      <c r="F967" s="49" t="s">
        <v>3139</v>
      </c>
      <c r="G967" s="39" t="s">
        <v>2852</v>
      </c>
    </row>
    <row r="968" customFormat="false" ht="18" hidden="false" customHeight="true" outlineLevel="0" collapsed="false">
      <c r="A968" s="47" t="n">
        <v>967</v>
      </c>
      <c r="B968" s="39" t="s">
        <v>2134</v>
      </c>
      <c r="C968" s="39" t="s">
        <v>2135</v>
      </c>
      <c r="D968" s="39" t="s">
        <v>100</v>
      </c>
      <c r="E968" s="48" t="s">
        <v>2137</v>
      </c>
      <c r="F968" s="49" t="s">
        <v>466</v>
      </c>
      <c r="G968" s="39" t="s">
        <v>2878</v>
      </c>
    </row>
    <row r="969" customFormat="false" ht="18" hidden="false" customHeight="true" outlineLevel="0" collapsed="false">
      <c r="A969" s="47" t="n">
        <v>968</v>
      </c>
      <c r="B969" s="39" t="s">
        <v>2134</v>
      </c>
      <c r="C969" s="39" t="s">
        <v>2135</v>
      </c>
      <c r="D969" s="39" t="s">
        <v>101</v>
      </c>
      <c r="E969" s="48" t="s">
        <v>2138</v>
      </c>
      <c r="F969" s="49" t="s">
        <v>467</v>
      </c>
      <c r="G969" s="39" t="s">
        <v>2843</v>
      </c>
    </row>
    <row r="970" customFormat="false" ht="18" hidden="false" customHeight="true" outlineLevel="0" collapsed="false">
      <c r="A970" s="47" t="n">
        <v>969</v>
      </c>
      <c r="B970" s="39" t="s">
        <v>2134</v>
      </c>
      <c r="C970" s="39" t="s">
        <v>2135</v>
      </c>
      <c r="D970" s="39" t="s">
        <v>77</v>
      </c>
      <c r="E970" s="48" t="s">
        <v>1173</v>
      </c>
      <c r="F970" s="49" t="s">
        <v>79</v>
      </c>
      <c r="G970" s="39" t="s">
        <v>2863</v>
      </c>
    </row>
    <row r="971" customFormat="false" ht="18" hidden="false" customHeight="true" outlineLevel="0" collapsed="false">
      <c r="A971" s="47" t="n">
        <v>970</v>
      </c>
      <c r="B971" s="39" t="s">
        <v>2134</v>
      </c>
      <c r="C971" s="39" t="s">
        <v>2135</v>
      </c>
      <c r="D971" s="39" t="s">
        <v>2850</v>
      </c>
      <c r="E971" s="48" t="s">
        <v>2141</v>
      </c>
      <c r="F971" s="49" t="s">
        <v>3251</v>
      </c>
      <c r="G971" s="39" t="s">
        <v>2852</v>
      </c>
    </row>
    <row r="972" customFormat="false" ht="18" hidden="false" customHeight="true" outlineLevel="0" collapsed="false">
      <c r="A972" s="47" t="n">
        <v>971</v>
      </c>
      <c r="B972" s="39" t="s">
        <v>2134</v>
      </c>
      <c r="C972" s="39" t="s">
        <v>2135</v>
      </c>
      <c r="D972" s="39" t="s">
        <v>109</v>
      </c>
      <c r="E972" s="48" t="s">
        <v>1836</v>
      </c>
      <c r="F972" s="49" t="s">
        <v>151</v>
      </c>
      <c r="G972" s="39" t="s">
        <v>2853</v>
      </c>
    </row>
    <row r="973" customFormat="false" ht="18" hidden="false" customHeight="true" outlineLevel="0" collapsed="false">
      <c r="A973" s="47" t="n">
        <v>972</v>
      </c>
      <c r="B973" s="39" t="s">
        <v>559</v>
      </c>
      <c r="C973" s="39" t="s">
        <v>2142</v>
      </c>
      <c r="D973" s="39" t="s">
        <v>2840</v>
      </c>
      <c r="E973" s="48" t="s">
        <v>2143</v>
      </c>
      <c r="F973" s="49" t="s">
        <v>3252</v>
      </c>
      <c r="G973" s="39" t="s">
        <v>2898</v>
      </c>
    </row>
    <row r="974" customFormat="false" ht="18" hidden="false" customHeight="true" outlineLevel="0" collapsed="false">
      <c r="A974" s="47" t="n">
        <v>973</v>
      </c>
      <c r="B974" s="39" t="s">
        <v>559</v>
      </c>
      <c r="C974" s="39" t="s">
        <v>2142</v>
      </c>
      <c r="D974" s="39" t="s">
        <v>101</v>
      </c>
      <c r="E974" s="48" t="s">
        <v>2144</v>
      </c>
      <c r="F974" s="49" t="s">
        <v>558</v>
      </c>
      <c r="G974" s="39" t="s">
        <v>2843</v>
      </c>
    </row>
    <row r="975" customFormat="false" ht="18" hidden="false" customHeight="true" outlineLevel="0" collapsed="false">
      <c r="A975" s="47" t="n">
        <v>974</v>
      </c>
      <c r="B975" s="39" t="s">
        <v>559</v>
      </c>
      <c r="C975" s="39" t="s">
        <v>2142</v>
      </c>
      <c r="D975" s="39" t="s">
        <v>102</v>
      </c>
      <c r="E975" s="48" t="s">
        <v>1564</v>
      </c>
      <c r="F975" s="49" t="s">
        <v>120</v>
      </c>
      <c r="G975" s="39" t="s">
        <v>2844</v>
      </c>
    </row>
    <row r="976" customFormat="false" ht="18" hidden="false" customHeight="true" outlineLevel="0" collapsed="false">
      <c r="A976" s="47" t="n">
        <v>975</v>
      </c>
      <c r="B976" s="39" t="s">
        <v>559</v>
      </c>
      <c r="C976" s="39" t="s">
        <v>2142</v>
      </c>
      <c r="D976" s="39" t="s">
        <v>77</v>
      </c>
      <c r="E976" s="48" t="s">
        <v>1216</v>
      </c>
      <c r="F976" s="49" t="s">
        <v>80</v>
      </c>
      <c r="G976" s="39" t="s">
        <v>2863</v>
      </c>
    </row>
    <row r="977" customFormat="false" ht="18" hidden="false" customHeight="true" outlineLevel="0" collapsed="false">
      <c r="A977" s="47" t="n">
        <v>976</v>
      </c>
      <c r="B977" s="39" t="s">
        <v>559</v>
      </c>
      <c r="C977" s="39" t="s">
        <v>2142</v>
      </c>
      <c r="D977" s="39" t="s">
        <v>2845</v>
      </c>
      <c r="E977" s="48" t="s">
        <v>2145</v>
      </c>
      <c r="F977" s="49" t="s">
        <v>3253</v>
      </c>
      <c r="G977" s="39" t="s">
        <v>2847</v>
      </c>
    </row>
    <row r="978" customFormat="false" ht="18" hidden="false" customHeight="true" outlineLevel="0" collapsed="false">
      <c r="A978" s="47" t="n">
        <v>977</v>
      </c>
      <c r="B978" s="39" t="s">
        <v>559</v>
      </c>
      <c r="C978" s="39" t="s">
        <v>2142</v>
      </c>
      <c r="D978" s="39" t="s">
        <v>2850</v>
      </c>
      <c r="E978" s="48" t="s">
        <v>2147</v>
      </c>
      <c r="F978" s="49" t="s">
        <v>3254</v>
      </c>
      <c r="G978" s="39" t="s">
        <v>2852</v>
      </c>
    </row>
    <row r="979" customFormat="false" ht="18" hidden="false" customHeight="true" outlineLevel="0" collapsed="false">
      <c r="A979" s="47" t="n">
        <v>978</v>
      </c>
      <c r="B979" s="39" t="s">
        <v>559</v>
      </c>
      <c r="C979" s="39" t="s">
        <v>2142</v>
      </c>
      <c r="D979" s="39" t="s">
        <v>109</v>
      </c>
      <c r="E979" s="48" t="s">
        <v>1851</v>
      </c>
      <c r="F979" s="49" t="s">
        <v>151</v>
      </c>
      <c r="G979" s="39" t="s">
        <v>2853</v>
      </c>
    </row>
    <row r="980" customFormat="false" ht="18" hidden="false" customHeight="true" outlineLevel="0" collapsed="false">
      <c r="A980" s="47" t="n">
        <v>979</v>
      </c>
      <c r="B980" s="39" t="s">
        <v>432</v>
      </c>
      <c r="C980" s="39" t="s">
        <v>2148</v>
      </c>
      <c r="D980" s="39" t="s">
        <v>101</v>
      </c>
      <c r="E980" s="48" t="s">
        <v>2150</v>
      </c>
      <c r="F980" s="49" t="s">
        <v>431</v>
      </c>
      <c r="G980" s="39" t="s">
        <v>2843</v>
      </c>
    </row>
    <row r="981" customFormat="false" ht="18" hidden="false" customHeight="true" outlineLevel="0" collapsed="false">
      <c r="A981" s="47" t="n">
        <v>980</v>
      </c>
      <c r="B981" s="39" t="s">
        <v>432</v>
      </c>
      <c r="C981" s="39" t="s">
        <v>2148</v>
      </c>
      <c r="D981" s="39" t="s">
        <v>102</v>
      </c>
      <c r="E981" s="48" t="s">
        <v>1337</v>
      </c>
      <c r="F981" s="49" t="s">
        <v>128</v>
      </c>
      <c r="G981" s="39" t="s">
        <v>2844</v>
      </c>
    </row>
    <row r="982" customFormat="false" ht="18" hidden="false" customHeight="true" outlineLevel="0" collapsed="false">
      <c r="A982" s="47" t="n">
        <v>981</v>
      </c>
      <c r="B982" s="39" t="s">
        <v>432</v>
      </c>
      <c r="C982" s="39" t="s">
        <v>2148</v>
      </c>
      <c r="D982" s="39" t="s">
        <v>77</v>
      </c>
      <c r="E982" s="48" t="s">
        <v>3147</v>
      </c>
      <c r="F982" s="49" t="s">
        <v>79</v>
      </c>
      <c r="G982" s="39" t="s">
        <v>3148</v>
      </c>
    </row>
    <row r="983" customFormat="false" ht="18" hidden="false" customHeight="true" outlineLevel="0" collapsed="false">
      <c r="A983" s="47" t="n">
        <v>982</v>
      </c>
      <c r="B983" s="39" t="s">
        <v>432</v>
      </c>
      <c r="C983" s="39" t="s">
        <v>2148</v>
      </c>
      <c r="D983" s="39" t="s">
        <v>2845</v>
      </c>
      <c r="E983" s="48" t="s">
        <v>2151</v>
      </c>
      <c r="F983" s="49" t="s">
        <v>3255</v>
      </c>
      <c r="G983" s="39" t="s">
        <v>2847</v>
      </c>
    </row>
    <row r="984" customFormat="false" ht="18" hidden="false" customHeight="true" outlineLevel="0" collapsed="false">
      <c r="A984" s="47" t="n">
        <v>983</v>
      </c>
      <c r="B984" s="39" t="s">
        <v>432</v>
      </c>
      <c r="C984" s="39" t="s">
        <v>2148</v>
      </c>
      <c r="D984" s="39" t="s">
        <v>2848</v>
      </c>
      <c r="E984" s="48" t="s">
        <v>2152</v>
      </c>
      <c r="F984" s="49" t="s">
        <v>3256</v>
      </c>
      <c r="G984" s="39" t="s">
        <v>2847</v>
      </c>
    </row>
    <row r="985" customFormat="false" ht="18" hidden="false" customHeight="true" outlineLevel="0" collapsed="false">
      <c r="A985" s="47" t="n">
        <v>984</v>
      </c>
      <c r="B985" s="39" t="s">
        <v>432</v>
      </c>
      <c r="C985" s="39" t="s">
        <v>2148</v>
      </c>
      <c r="D985" s="39" t="s">
        <v>2850</v>
      </c>
      <c r="E985" s="48" t="s">
        <v>2153</v>
      </c>
      <c r="F985" s="49" t="s">
        <v>3257</v>
      </c>
      <c r="G985" s="39" t="s">
        <v>2852</v>
      </c>
    </row>
    <row r="986" customFormat="false" ht="18" hidden="false" customHeight="true" outlineLevel="0" collapsed="false">
      <c r="A986" s="47" t="n">
        <v>985</v>
      </c>
      <c r="B986" s="39" t="s">
        <v>432</v>
      </c>
      <c r="C986" s="39" t="s">
        <v>2148</v>
      </c>
      <c r="D986" s="39" t="s">
        <v>109</v>
      </c>
      <c r="E986" s="48" t="s">
        <v>1851</v>
      </c>
      <c r="F986" s="49" t="s">
        <v>151</v>
      </c>
      <c r="G986" s="39" t="s">
        <v>2853</v>
      </c>
    </row>
    <row r="987" customFormat="false" ht="18" hidden="false" customHeight="true" outlineLevel="0" collapsed="false">
      <c r="A987" s="47" t="n">
        <v>986</v>
      </c>
      <c r="B987" s="39" t="s">
        <v>707</v>
      </c>
      <c r="C987" s="39" t="s">
        <v>2154</v>
      </c>
      <c r="D987" s="39" t="s">
        <v>2840</v>
      </c>
      <c r="E987" s="48" t="s">
        <v>2155</v>
      </c>
      <c r="F987" s="49" t="s">
        <v>3258</v>
      </c>
      <c r="G987" s="39" t="s">
        <v>2898</v>
      </c>
    </row>
    <row r="988" customFormat="false" ht="18" hidden="false" customHeight="true" outlineLevel="0" collapsed="false">
      <c r="A988" s="47" t="n">
        <v>987</v>
      </c>
      <c r="B988" s="39" t="s">
        <v>707</v>
      </c>
      <c r="C988" s="39" t="s">
        <v>2154</v>
      </c>
      <c r="D988" s="39" t="s">
        <v>101</v>
      </c>
      <c r="E988" s="48" t="s">
        <v>2156</v>
      </c>
      <c r="F988" s="49" t="s">
        <v>706</v>
      </c>
      <c r="G988" s="39" t="s">
        <v>2843</v>
      </c>
    </row>
    <row r="989" customFormat="false" ht="18" hidden="false" customHeight="true" outlineLevel="0" collapsed="false">
      <c r="A989" s="47" t="n">
        <v>988</v>
      </c>
      <c r="B989" s="39" t="s">
        <v>707</v>
      </c>
      <c r="C989" s="39" t="s">
        <v>2154</v>
      </c>
      <c r="D989" s="39" t="s">
        <v>102</v>
      </c>
      <c r="E989" s="48" t="s">
        <v>2157</v>
      </c>
      <c r="F989" s="49" t="s">
        <v>324</v>
      </c>
      <c r="G989" s="39" t="s">
        <v>2844</v>
      </c>
    </row>
    <row r="990" customFormat="false" ht="18" hidden="false" customHeight="true" outlineLevel="0" collapsed="false">
      <c r="A990" s="47" t="n">
        <v>989</v>
      </c>
      <c r="B990" s="39" t="s">
        <v>707</v>
      </c>
      <c r="C990" s="39" t="s">
        <v>2154</v>
      </c>
      <c r="D990" s="39" t="s">
        <v>2845</v>
      </c>
      <c r="E990" s="48" t="s">
        <v>2158</v>
      </c>
      <c r="F990" s="49" t="s">
        <v>3259</v>
      </c>
      <c r="G990" s="39" t="s">
        <v>2847</v>
      </c>
    </row>
    <row r="991" customFormat="false" ht="18" hidden="false" customHeight="true" outlineLevel="0" collapsed="false">
      <c r="A991" s="47" t="n">
        <v>990</v>
      </c>
      <c r="B991" s="39" t="s">
        <v>707</v>
      </c>
      <c r="C991" s="39" t="s">
        <v>2154</v>
      </c>
      <c r="D991" s="39" t="s">
        <v>2850</v>
      </c>
      <c r="E991" s="48" t="s">
        <v>2160</v>
      </c>
      <c r="F991" s="49" t="s">
        <v>2527</v>
      </c>
      <c r="G991" s="39" t="s">
        <v>2852</v>
      </c>
    </row>
    <row r="992" customFormat="false" ht="18" hidden="false" customHeight="true" outlineLevel="0" collapsed="false">
      <c r="A992" s="47" t="n">
        <v>991</v>
      </c>
      <c r="B992" s="39" t="s">
        <v>707</v>
      </c>
      <c r="C992" s="39" t="s">
        <v>2154</v>
      </c>
      <c r="D992" s="39" t="s">
        <v>109</v>
      </c>
      <c r="E992" s="48" t="s">
        <v>1836</v>
      </c>
      <c r="F992" s="49" t="s">
        <v>151</v>
      </c>
      <c r="G992" s="39" t="s">
        <v>2853</v>
      </c>
    </row>
    <row r="993" customFormat="false" ht="18" hidden="false" customHeight="true" outlineLevel="0" collapsed="false">
      <c r="A993" s="47" t="n">
        <v>992</v>
      </c>
      <c r="B993" s="39" t="s">
        <v>144</v>
      </c>
      <c r="C993" s="39" t="s">
        <v>2161</v>
      </c>
      <c r="D993" s="39" t="s">
        <v>101</v>
      </c>
      <c r="E993" s="48" t="s">
        <v>2163</v>
      </c>
      <c r="F993" s="49" t="s">
        <v>143</v>
      </c>
      <c r="G993" s="39" t="s">
        <v>2843</v>
      </c>
    </row>
    <row r="994" customFormat="false" ht="18" hidden="false" customHeight="true" outlineLevel="0" collapsed="false">
      <c r="A994" s="47" t="n">
        <v>993</v>
      </c>
      <c r="B994" s="39" t="s">
        <v>144</v>
      </c>
      <c r="C994" s="39" t="s">
        <v>2161</v>
      </c>
      <c r="D994" s="39" t="s">
        <v>102</v>
      </c>
      <c r="E994" s="48" t="s">
        <v>1201</v>
      </c>
      <c r="F994" s="49" t="s">
        <v>128</v>
      </c>
      <c r="G994" s="39" t="s">
        <v>2844</v>
      </c>
    </row>
    <row r="995" customFormat="false" ht="18" hidden="false" customHeight="true" outlineLevel="0" collapsed="false">
      <c r="A995" s="47" t="n">
        <v>994</v>
      </c>
      <c r="B995" s="39" t="s">
        <v>144</v>
      </c>
      <c r="C995" s="39" t="s">
        <v>2161</v>
      </c>
      <c r="D995" s="39" t="s">
        <v>77</v>
      </c>
      <c r="E995" s="48" t="s">
        <v>3147</v>
      </c>
      <c r="F995" s="49" t="s">
        <v>79</v>
      </c>
      <c r="G995" s="39" t="s">
        <v>3148</v>
      </c>
    </row>
    <row r="996" customFormat="false" ht="18" hidden="false" customHeight="true" outlineLevel="0" collapsed="false">
      <c r="A996" s="47" t="n">
        <v>995</v>
      </c>
      <c r="B996" s="39" t="s">
        <v>144</v>
      </c>
      <c r="C996" s="39" t="s">
        <v>2161</v>
      </c>
      <c r="D996" s="39" t="s">
        <v>2845</v>
      </c>
      <c r="E996" s="48" t="s">
        <v>2164</v>
      </c>
      <c r="F996" s="49" t="s">
        <v>3260</v>
      </c>
      <c r="G996" s="39" t="s">
        <v>2847</v>
      </c>
    </row>
    <row r="997" customFormat="false" ht="18" hidden="false" customHeight="true" outlineLevel="0" collapsed="false">
      <c r="A997" s="47" t="n">
        <v>996</v>
      </c>
      <c r="B997" s="39" t="s">
        <v>144</v>
      </c>
      <c r="C997" s="39" t="s">
        <v>2161</v>
      </c>
      <c r="D997" s="39" t="s">
        <v>2848</v>
      </c>
      <c r="E997" s="48" t="s">
        <v>2165</v>
      </c>
      <c r="F997" s="49" t="s">
        <v>3261</v>
      </c>
      <c r="G997" s="39" t="s">
        <v>2847</v>
      </c>
    </row>
    <row r="998" customFormat="false" ht="18" hidden="false" customHeight="true" outlineLevel="0" collapsed="false">
      <c r="A998" s="47" t="n">
        <v>997</v>
      </c>
      <c r="B998" s="39" t="s">
        <v>144</v>
      </c>
      <c r="C998" s="39" t="s">
        <v>2161</v>
      </c>
      <c r="D998" s="39" t="s">
        <v>2850</v>
      </c>
      <c r="E998" s="48" t="s">
        <v>2166</v>
      </c>
      <c r="F998" s="49" t="s">
        <v>2974</v>
      </c>
      <c r="G998" s="39" t="s">
        <v>2852</v>
      </c>
    </row>
    <row r="999" customFormat="false" ht="18" hidden="false" customHeight="true" outlineLevel="0" collapsed="false">
      <c r="A999" s="47" t="n">
        <v>998</v>
      </c>
      <c r="B999" s="39" t="s">
        <v>144</v>
      </c>
      <c r="C999" s="39" t="s">
        <v>2161</v>
      </c>
      <c r="D999" s="39" t="s">
        <v>109</v>
      </c>
      <c r="E999" s="48" t="s">
        <v>2034</v>
      </c>
      <c r="F999" s="49" t="s">
        <v>130</v>
      </c>
      <c r="G999" s="39" t="s">
        <v>2853</v>
      </c>
    </row>
    <row r="1000" customFormat="false" ht="18" hidden="false" customHeight="true" outlineLevel="0" collapsed="false">
      <c r="A1000" s="47" t="n">
        <v>999</v>
      </c>
      <c r="B1000" s="39" t="s">
        <v>2167</v>
      </c>
      <c r="C1000" s="39" t="s">
        <v>2168</v>
      </c>
      <c r="D1000" s="39" t="s">
        <v>101</v>
      </c>
      <c r="E1000" s="48" t="s">
        <v>1789</v>
      </c>
      <c r="F1000" s="49" t="s">
        <v>711</v>
      </c>
      <c r="G1000" s="39" t="s">
        <v>2843</v>
      </c>
    </row>
    <row r="1001" customFormat="false" ht="18" hidden="false" customHeight="true" outlineLevel="0" collapsed="false">
      <c r="A1001" s="47" t="n">
        <v>1000</v>
      </c>
      <c r="B1001" s="39" t="s">
        <v>2167</v>
      </c>
      <c r="C1001" s="39" t="s">
        <v>2168</v>
      </c>
      <c r="D1001" s="39" t="s">
        <v>77</v>
      </c>
      <c r="E1001" s="48" t="s">
        <v>1173</v>
      </c>
      <c r="F1001" s="49" t="s">
        <v>79</v>
      </c>
      <c r="G1001" s="39" t="s">
        <v>2863</v>
      </c>
    </row>
    <row r="1002" customFormat="false" ht="18" hidden="false" customHeight="true" outlineLevel="0" collapsed="false">
      <c r="A1002" s="47" t="n">
        <v>1001</v>
      </c>
      <c r="B1002" s="39" t="s">
        <v>2167</v>
      </c>
      <c r="C1002" s="39" t="s">
        <v>2168</v>
      </c>
      <c r="D1002" s="39" t="s">
        <v>2845</v>
      </c>
      <c r="E1002" s="48" t="s">
        <v>2169</v>
      </c>
      <c r="F1002" s="49" t="s">
        <v>3262</v>
      </c>
      <c r="G1002" s="39" t="s">
        <v>2847</v>
      </c>
    </row>
    <row r="1003" customFormat="false" ht="18" hidden="false" customHeight="true" outlineLevel="0" collapsed="false">
      <c r="A1003" s="47" t="n">
        <v>1002</v>
      </c>
      <c r="B1003" s="39" t="s">
        <v>2167</v>
      </c>
      <c r="C1003" s="39" t="s">
        <v>2168</v>
      </c>
      <c r="D1003" s="39" t="s">
        <v>2848</v>
      </c>
      <c r="E1003" s="48" t="s">
        <v>2170</v>
      </c>
      <c r="F1003" s="49" t="s">
        <v>3263</v>
      </c>
      <c r="G1003" s="39" t="s">
        <v>2847</v>
      </c>
    </row>
    <row r="1004" customFormat="false" ht="18" hidden="false" customHeight="true" outlineLevel="0" collapsed="false">
      <c r="A1004" s="47" t="n">
        <v>1003</v>
      </c>
      <c r="B1004" s="39" t="s">
        <v>2167</v>
      </c>
      <c r="C1004" s="39" t="s">
        <v>2168</v>
      </c>
      <c r="D1004" s="39" t="s">
        <v>2850</v>
      </c>
      <c r="E1004" s="48" t="s">
        <v>2171</v>
      </c>
      <c r="F1004" s="49" t="s">
        <v>3264</v>
      </c>
      <c r="G1004" s="39" t="s">
        <v>2852</v>
      </c>
    </row>
    <row r="1005" customFormat="false" ht="18" hidden="false" customHeight="true" outlineLevel="0" collapsed="false">
      <c r="A1005" s="47" t="n">
        <v>1004</v>
      </c>
      <c r="B1005" s="39" t="s">
        <v>1097</v>
      </c>
      <c r="C1005" s="39" t="s">
        <v>2172</v>
      </c>
      <c r="D1005" s="39" t="s">
        <v>101</v>
      </c>
      <c r="E1005" s="48" t="s">
        <v>2174</v>
      </c>
      <c r="F1005" s="49" t="s">
        <v>1096</v>
      </c>
      <c r="G1005" s="39" t="s">
        <v>2843</v>
      </c>
    </row>
    <row r="1006" customFormat="false" ht="18" hidden="false" customHeight="true" outlineLevel="0" collapsed="false">
      <c r="A1006" s="47" t="n">
        <v>1005</v>
      </c>
      <c r="B1006" s="39" t="s">
        <v>1097</v>
      </c>
      <c r="C1006" s="39" t="s">
        <v>2172</v>
      </c>
      <c r="D1006" s="39" t="s">
        <v>102</v>
      </c>
      <c r="E1006" s="48" t="s">
        <v>81</v>
      </c>
      <c r="F1006" s="49" t="s">
        <v>257</v>
      </c>
      <c r="G1006" s="39" t="s">
        <v>2844</v>
      </c>
    </row>
    <row r="1007" customFormat="false" ht="18" hidden="false" customHeight="true" outlineLevel="0" collapsed="false">
      <c r="A1007" s="47" t="n">
        <v>1006</v>
      </c>
      <c r="B1007" s="39" t="s">
        <v>1097</v>
      </c>
      <c r="C1007" s="39" t="s">
        <v>2172</v>
      </c>
      <c r="D1007" s="39" t="s">
        <v>2845</v>
      </c>
      <c r="E1007" s="48" t="s">
        <v>2175</v>
      </c>
      <c r="F1007" s="49" t="s">
        <v>3265</v>
      </c>
      <c r="G1007" s="39" t="s">
        <v>2847</v>
      </c>
    </row>
    <row r="1008" customFormat="false" ht="18" hidden="false" customHeight="true" outlineLevel="0" collapsed="false">
      <c r="A1008" s="47" t="n">
        <v>1007</v>
      </c>
      <c r="B1008" s="39" t="s">
        <v>1097</v>
      </c>
      <c r="C1008" s="39" t="s">
        <v>2172</v>
      </c>
      <c r="D1008" s="39" t="s">
        <v>2848</v>
      </c>
      <c r="E1008" s="48" t="s">
        <v>2175</v>
      </c>
      <c r="F1008" s="49" t="s">
        <v>3265</v>
      </c>
      <c r="G1008" s="39" t="s">
        <v>2847</v>
      </c>
    </row>
    <row r="1009" customFormat="false" ht="18" hidden="false" customHeight="true" outlineLevel="0" collapsed="false">
      <c r="A1009" s="47" t="n">
        <v>1008</v>
      </c>
      <c r="B1009" s="39" t="s">
        <v>1097</v>
      </c>
      <c r="C1009" s="39" t="s">
        <v>2172</v>
      </c>
      <c r="D1009" s="39" t="s">
        <v>106</v>
      </c>
      <c r="E1009" s="48" t="s">
        <v>1900</v>
      </c>
      <c r="F1009" s="49" t="s">
        <v>1140</v>
      </c>
      <c r="G1009" s="39" t="s">
        <v>3150</v>
      </c>
    </row>
    <row r="1010" customFormat="false" ht="18" hidden="false" customHeight="true" outlineLevel="0" collapsed="false">
      <c r="A1010" s="47" t="n">
        <v>1009</v>
      </c>
      <c r="B1010" s="39" t="s">
        <v>1097</v>
      </c>
      <c r="C1010" s="39" t="s">
        <v>2172</v>
      </c>
      <c r="D1010" s="39" t="s">
        <v>2850</v>
      </c>
      <c r="E1010" s="48" t="s">
        <v>2176</v>
      </c>
      <c r="F1010" s="49" t="s">
        <v>2608</v>
      </c>
      <c r="G1010" s="39" t="s">
        <v>2852</v>
      </c>
    </row>
    <row r="1011" customFormat="false" ht="18" hidden="false" customHeight="true" outlineLevel="0" collapsed="false">
      <c r="A1011" s="47" t="n">
        <v>1010</v>
      </c>
      <c r="B1011" s="39" t="s">
        <v>1097</v>
      </c>
      <c r="C1011" s="39" t="s">
        <v>2172</v>
      </c>
      <c r="D1011" s="39" t="s">
        <v>109</v>
      </c>
      <c r="E1011" s="48" t="s">
        <v>1819</v>
      </c>
      <c r="F1011" s="49" t="s">
        <v>130</v>
      </c>
      <c r="G1011" s="39" t="s">
        <v>2853</v>
      </c>
    </row>
    <row r="1012" customFormat="false" ht="18" hidden="false" customHeight="true" outlineLevel="0" collapsed="false">
      <c r="A1012" s="47" t="n">
        <v>1011</v>
      </c>
      <c r="B1012" s="39" t="s">
        <v>2177</v>
      </c>
      <c r="C1012" s="39" t="s">
        <v>2178</v>
      </c>
      <c r="D1012" s="39" t="s">
        <v>100</v>
      </c>
      <c r="E1012" s="48" t="s">
        <v>2180</v>
      </c>
      <c r="F1012" s="49" t="s">
        <v>938</v>
      </c>
      <c r="G1012" s="39" t="s">
        <v>2878</v>
      </c>
    </row>
    <row r="1013" customFormat="false" ht="18" hidden="false" customHeight="true" outlineLevel="0" collapsed="false">
      <c r="A1013" s="47" t="n">
        <v>1012</v>
      </c>
      <c r="B1013" s="39" t="s">
        <v>2177</v>
      </c>
      <c r="C1013" s="39" t="s">
        <v>2178</v>
      </c>
      <c r="D1013" s="39" t="s">
        <v>101</v>
      </c>
      <c r="E1013" s="48" t="s">
        <v>2181</v>
      </c>
      <c r="F1013" s="49" t="s">
        <v>939</v>
      </c>
      <c r="G1013" s="39" t="s">
        <v>2843</v>
      </c>
    </row>
    <row r="1014" customFormat="false" ht="18" hidden="false" customHeight="true" outlineLevel="0" collapsed="false">
      <c r="A1014" s="47" t="n">
        <v>1013</v>
      </c>
      <c r="B1014" s="39" t="s">
        <v>2177</v>
      </c>
      <c r="C1014" s="39" t="s">
        <v>2178</v>
      </c>
      <c r="D1014" s="39" t="s">
        <v>102</v>
      </c>
      <c r="E1014" s="48" t="s">
        <v>1365</v>
      </c>
      <c r="F1014" s="49" t="s">
        <v>170</v>
      </c>
      <c r="G1014" s="39" t="s">
        <v>2844</v>
      </c>
    </row>
    <row r="1015" customFormat="false" ht="18" hidden="false" customHeight="true" outlineLevel="0" collapsed="false">
      <c r="A1015" s="47" t="n">
        <v>1014</v>
      </c>
      <c r="B1015" s="39" t="s">
        <v>2177</v>
      </c>
      <c r="C1015" s="39" t="s">
        <v>2178</v>
      </c>
      <c r="D1015" s="39" t="s">
        <v>2845</v>
      </c>
      <c r="E1015" s="48" t="s">
        <v>2182</v>
      </c>
      <c r="F1015" s="49" t="s">
        <v>3266</v>
      </c>
      <c r="G1015" s="39" t="s">
        <v>2847</v>
      </c>
    </row>
    <row r="1016" customFormat="false" ht="18" hidden="false" customHeight="true" outlineLevel="0" collapsed="false">
      <c r="A1016" s="47" t="n">
        <v>1015</v>
      </c>
      <c r="B1016" s="39" t="s">
        <v>2177</v>
      </c>
      <c r="C1016" s="39" t="s">
        <v>2178</v>
      </c>
      <c r="D1016" s="39" t="s">
        <v>2850</v>
      </c>
      <c r="E1016" s="48" t="s">
        <v>2184</v>
      </c>
      <c r="F1016" s="49" t="s">
        <v>3267</v>
      </c>
      <c r="G1016" s="39" t="s">
        <v>2852</v>
      </c>
    </row>
    <row r="1017" customFormat="false" ht="18" hidden="false" customHeight="true" outlineLevel="0" collapsed="false">
      <c r="A1017" s="47" t="n">
        <v>1016</v>
      </c>
      <c r="B1017" s="39" t="s">
        <v>962</v>
      </c>
      <c r="C1017" s="39" t="s">
        <v>2185</v>
      </c>
      <c r="D1017" s="39" t="s">
        <v>2840</v>
      </c>
      <c r="E1017" s="48" t="s">
        <v>2186</v>
      </c>
      <c r="F1017" s="49" t="s">
        <v>3268</v>
      </c>
      <c r="G1017" s="39" t="s">
        <v>2898</v>
      </c>
    </row>
    <row r="1018" customFormat="false" ht="18" hidden="false" customHeight="true" outlineLevel="0" collapsed="false">
      <c r="A1018" s="47" t="n">
        <v>1017</v>
      </c>
      <c r="B1018" s="39" t="s">
        <v>962</v>
      </c>
      <c r="C1018" s="39" t="s">
        <v>2185</v>
      </c>
      <c r="D1018" s="39" t="s">
        <v>101</v>
      </c>
      <c r="E1018" s="48" t="s">
        <v>2187</v>
      </c>
      <c r="F1018" s="49" t="s">
        <v>961</v>
      </c>
      <c r="G1018" s="39" t="s">
        <v>2843</v>
      </c>
    </row>
    <row r="1019" customFormat="false" ht="18" hidden="false" customHeight="true" outlineLevel="0" collapsed="false">
      <c r="A1019" s="47" t="n">
        <v>1018</v>
      </c>
      <c r="B1019" s="39" t="s">
        <v>962</v>
      </c>
      <c r="C1019" s="39" t="s">
        <v>2185</v>
      </c>
      <c r="D1019" s="39" t="s">
        <v>102</v>
      </c>
      <c r="E1019" s="48" t="s">
        <v>1172</v>
      </c>
      <c r="F1019" s="49" t="s">
        <v>128</v>
      </c>
      <c r="G1019" s="39" t="s">
        <v>2844</v>
      </c>
    </row>
    <row r="1020" customFormat="false" ht="18" hidden="false" customHeight="true" outlineLevel="0" collapsed="false">
      <c r="A1020" s="47" t="n">
        <v>1019</v>
      </c>
      <c r="B1020" s="39" t="s">
        <v>962</v>
      </c>
      <c r="C1020" s="39" t="s">
        <v>2185</v>
      </c>
      <c r="D1020" s="39" t="s">
        <v>2850</v>
      </c>
      <c r="E1020" s="48" t="s">
        <v>2190</v>
      </c>
      <c r="F1020" s="49" t="s">
        <v>3269</v>
      </c>
      <c r="G1020" s="39" t="s">
        <v>2852</v>
      </c>
    </row>
    <row r="1021" customFormat="false" ht="18" hidden="false" customHeight="true" outlineLevel="0" collapsed="false">
      <c r="A1021" s="47" t="n">
        <v>1020</v>
      </c>
      <c r="B1021" s="39" t="s">
        <v>962</v>
      </c>
      <c r="C1021" s="39" t="s">
        <v>2185</v>
      </c>
      <c r="D1021" s="39" t="s">
        <v>109</v>
      </c>
      <c r="E1021" s="48" t="s">
        <v>1819</v>
      </c>
      <c r="F1021" s="49" t="s">
        <v>130</v>
      </c>
      <c r="G1021" s="39" t="s">
        <v>2853</v>
      </c>
    </row>
    <row r="1022" customFormat="false" ht="18" hidden="false" customHeight="true" outlineLevel="0" collapsed="false">
      <c r="A1022" s="47" t="n">
        <v>1021</v>
      </c>
      <c r="B1022" s="39" t="s">
        <v>2191</v>
      </c>
      <c r="C1022" s="39" t="s">
        <v>2192</v>
      </c>
      <c r="D1022" s="39" t="s">
        <v>101</v>
      </c>
      <c r="E1022" s="48" t="s">
        <v>1495</v>
      </c>
      <c r="F1022" s="49" t="s">
        <v>980</v>
      </c>
      <c r="G1022" s="39" t="s">
        <v>2843</v>
      </c>
    </row>
    <row r="1023" customFormat="false" ht="18" hidden="false" customHeight="true" outlineLevel="0" collapsed="false">
      <c r="A1023" s="47" t="n">
        <v>1022</v>
      </c>
      <c r="B1023" s="39" t="s">
        <v>2191</v>
      </c>
      <c r="C1023" s="39" t="s">
        <v>2192</v>
      </c>
      <c r="D1023" s="39" t="s">
        <v>2845</v>
      </c>
      <c r="E1023" s="48" t="s">
        <v>2193</v>
      </c>
      <c r="F1023" s="49" t="s">
        <v>3270</v>
      </c>
      <c r="G1023" s="39" t="s">
        <v>2847</v>
      </c>
    </row>
    <row r="1024" customFormat="false" ht="18" hidden="false" customHeight="true" outlineLevel="0" collapsed="false">
      <c r="A1024" s="47" t="n">
        <v>1023</v>
      </c>
      <c r="B1024" s="39" t="s">
        <v>2191</v>
      </c>
      <c r="C1024" s="39" t="s">
        <v>2192</v>
      </c>
      <c r="D1024" s="39" t="s">
        <v>2850</v>
      </c>
      <c r="E1024" s="48" t="s">
        <v>2195</v>
      </c>
      <c r="F1024" s="49" t="s">
        <v>3271</v>
      </c>
      <c r="G1024" s="39" t="s">
        <v>2852</v>
      </c>
    </row>
    <row r="1025" customFormat="false" ht="18" hidden="false" customHeight="true" outlineLevel="0" collapsed="false">
      <c r="A1025" s="47" t="n">
        <v>1024</v>
      </c>
      <c r="B1025" s="39" t="s">
        <v>2191</v>
      </c>
      <c r="C1025" s="39" t="s">
        <v>2192</v>
      </c>
      <c r="D1025" s="39" t="s">
        <v>109</v>
      </c>
      <c r="E1025" s="48" t="s">
        <v>1836</v>
      </c>
      <c r="F1025" s="49" t="s">
        <v>151</v>
      </c>
      <c r="G1025" s="39" t="s">
        <v>2853</v>
      </c>
    </row>
    <row r="1026" customFormat="false" ht="18" hidden="false" customHeight="true" outlineLevel="0" collapsed="false">
      <c r="A1026" s="47" t="n">
        <v>1025</v>
      </c>
      <c r="B1026" s="39" t="s">
        <v>2196</v>
      </c>
      <c r="C1026" s="39" t="s">
        <v>2197</v>
      </c>
      <c r="D1026" s="39" t="s">
        <v>101</v>
      </c>
      <c r="E1026" s="48" t="s">
        <v>2199</v>
      </c>
      <c r="F1026" s="49" t="s">
        <v>311</v>
      </c>
      <c r="G1026" s="39" t="s">
        <v>2843</v>
      </c>
    </row>
    <row r="1027" customFormat="false" ht="18" hidden="false" customHeight="true" outlineLevel="0" collapsed="false">
      <c r="A1027" s="47" t="n">
        <v>1026</v>
      </c>
      <c r="B1027" s="39" t="s">
        <v>2196</v>
      </c>
      <c r="C1027" s="39" t="s">
        <v>2197</v>
      </c>
      <c r="D1027" s="39" t="s">
        <v>102</v>
      </c>
      <c r="E1027" s="48" t="s">
        <v>1194</v>
      </c>
      <c r="F1027" s="49" t="s">
        <v>128</v>
      </c>
      <c r="G1027" s="39" t="s">
        <v>2844</v>
      </c>
    </row>
    <row r="1028" customFormat="false" ht="18" hidden="false" customHeight="true" outlineLevel="0" collapsed="false">
      <c r="A1028" s="47" t="n">
        <v>1027</v>
      </c>
      <c r="B1028" s="39" t="s">
        <v>2196</v>
      </c>
      <c r="C1028" s="39" t="s">
        <v>2197</v>
      </c>
      <c r="D1028" s="39" t="s">
        <v>77</v>
      </c>
      <c r="E1028" s="48" t="s">
        <v>3147</v>
      </c>
      <c r="F1028" s="49" t="s">
        <v>79</v>
      </c>
      <c r="G1028" s="39" t="s">
        <v>3148</v>
      </c>
    </row>
    <row r="1029" customFormat="false" ht="18" hidden="false" customHeight="true" outlineLevel="0" collapsed="false">
      <c r="A1029" s="47" t="n">
        <v>1028</v>
      </c>
      <c r="B1029" s="39" t="s">
        <v>2196</v>
      </c>
      <c r="C1029" s="39" t="s">
        <v>2197</v>
      </c>
      <c r="D1029" s="39" t="s">
        <v>2845</v>
      </c>
      <c r="E1029" s="48" t="s">
        <v>2200</v>
      </c>
      <c r="F1029" s="49" t="s">
        <v>3272</v>
      </c>
      <c r="G1029" s="39" t="s">
        <v>2847</v>
      </c>
    </row>
    <row r="1030" customFormat="false" ht="18" hidden="false" customHeight="true" outlineLevel="0" collapsed="false">
      <c r="A1030" s="47" t="n">
        <v>1029</v>
      </c>
      <c r="B1030" s="39" t="s">
        <v>2196</v>
      </c>
      <c r="C1030" s="39" t="s">
        <v>2197</v>
      </c>
      <c r="D1030" s="39" t="s">
        <v>2848</v>
      </c>
      <c r="E1030" s="48" t="s">
        <v>2201</v>
      </c>
      <c r="F1030" s="49" t="s">
        <v>3273</v>
      </c>
      <c r="G1030" s="39" t="s">
        <v>2847</v>
      </c>
    </row>
    <row r="1031" customFormat="false" ht="18" hidden="false" customHeight="true" outlineLevel="0" collapsed="false">
      <c r="A1031" s="47" t="n">
        <v>1030</v>
      </c>
      <c r="B1031" s="39" t="s">
        <v>2196</v>
      </c>
      <c r="C1031" s="39" t="s">
        <v>2197</v>
      </c>
      <c r="D1031" s="39" t="s">
        <v>2850</v>
      </c>
      <c r="E1031" s="48" t="s">
        <v>2202</v>
      </c>
      <c r="F1031" s="49" t="s">
        <v>3274</v>
      </c>
      <c r="G1031" s="39" t="s">
        <v>2852</v>
      </c>
    </row>
    <row r="1032" customFormat="false" ht="18" hidden="false" customHeight="true" outlineLevel="0" collapsed="false">
      <c r="A1032" s="47" t="n">
        <v>1031</v>
      </c>
      <c r="B1032" s="39" t="s">
        <v>2203</v>
      </c>
      <c r="C1032" s="39" t="s">
        <v>2204</v>
      </c>
      <c r="D1032" s="39" t="s">
        <v>2840</v>
      </c>
      <c r="E1032" s="48" t="s">
        <v>2205</v>
      </c>
      <c r="F1032" s="49" t="s">
        <v>1186</v>
      </c>
      <c r="G1032" s="39" t="s">
        <v>2898</v>
      </c>
    </row>
    <row r="1033" customFormat="false" ht="18" hidden="false" customHeight="true" outlineLevel="0" collapsed="false">
      <c r="A1033" s="47" t="n">
        <v>1032</v>
      </c>
      <c r="B1033" s="39" t="s">
        <v>2203</v>
      </c>
      <c r="C1033" s="39" t="s">
        <v>2204</v>
      </c>
      <c r="D1033" s="39" t="s">
        <v>100</v>
      </c>
      <c r="E1033" s="48" t="s">
        <v>2206</v>
      </c>
      <c r="F1033" s="49" t="s">
        <v>843</v>
      </c>
      <c r="G1033" s="39" t="s">
        <v>2870</v>
      </c>
    </row>
    <row r="1034" customFormat="false" ht="18" hidden="false" customHeight="true" outlineLevel="0" collapsed="false">
      <c r="A1034" s="47" t="n">
        <v>1033</v>
      </c>
      <c r="B1034" s="39" t="s">
        <v>2203</v>
      </c>
      <c r="C1034" s="39" t="s">
        <v>2204</v>
      </c>
      <c r="D1034" s="39" t="s">
        <v>101</v>
      </c>
      <c r="E1034" s="48" t="s">
        <v>2207</v>
      </c>
      <c r="F1034" s="49" t="s">
        <v>844</v>
      </c>
      <c r="G1034" s="39" t="s">
        <v>2843</v>
      </c>
    </row>
    <row r="1035" customFormat="false" ht="18" hidden="false" customHeight="true" outlineLevel="0" collapsed="false">
      <c r="A1035" s="47" t="n">
        <v>1034</v>
      </c>
      <c r="B1035" s="39" t="s">
        <v>2203</v>
      </c>
      <c r="C1035" s="39" t="s">
        <v>2204</v>
      </c>
      <c r="D1035" s="39" t="s">
        <v>102</v>
      </c>
      <c r="E1035" s="48" t="s">
        <v>1577</v>
      </c>
      <c r="F1035" s="49" t="s">
        <v>217</v>
      </c>
      <c r="G1035" s="39" t="s">
        <v>2844</v>
      </c>
    </row>
    <row r="1036" customFormat="false" ht="18" hidden="false" customHeight="true" outlineLevel="0" collapsed="false">
      <c r="A1036" s="47" t="n">
        <v>1035</v>
      </c>
      <c r="B1036" s="39" t="s">
        <v>2203</v>
      </c>
      <c r="C1036" s="39" t="s">
        <v>2204</v>
      </c>
      <c r="D1036" s="39" t="s">
        <v>2845</v>
      </c>
      <c r="E1036" s="48" t="s">
        <v>2208</v>
      </c>
      <c r="F1036" s="49" t="s">
        <v>3275</v>
      </c>
      <c r="G1036" s="39" t="s">
        <v>2847</v>
      </c>
    </row>
    <row r="1037" customFormat="false" ht="18" hidden="false" customHeight="true" outlineLevel="0" collapsed="false">
      <c r="A1037" s="47" t="n">
        <v>1036</v>
      </c>
      <c r="B1037" s="39" t="s">
        <v>2203</v>
      </c>
      <c r="C1037" s="39" t="s">
        <v>2204</v>
      </c>
      <c r="D1037" s="39" t="s">
        <v>2850</v>
      </c>
      <c r="E1037" s="48" t="s">
        <v>2210</v>
      </c>
      <c r="F1037" s="49" t="s">
        <v>3276</v>
      </c>
      <c r="G1037" s="39" t="s">
        <v>2852</v>
      </c>
    </row>
    <row r="1038" customFormat="false" ht="18" hidden="false" customHeight="true" outlineLevel="0" collapsed="false">
      <c r="A1038" s="47" t="n">
        <v>1037</v>
      </c>
      <c r="B1038" s="39" t="s">
        <v>369</v>
      </c>
      <c r="C1038" s="39" t="s">
        <v>2211</v>
      </c>
      <c r="D1038" s="39" t="s">
        <v>101</v>
      </c>
      <c r="E1038" s="48" t="s">
        <v>2213</v>
      </c>
      <c r="F1038" s="49" t="s">
        <v>368</v>
      </c>
      <c r="G1038" s="39" t="s">
        <v>2843</v>
      </c>
    </row>
    <row r="1039" customFormat="false" ht="18" hidden="false" customHeight="true" outlineLevel="0" collapsed="false">
      <c r="A1039" s="47" t="n">
        <v>1038</v>
      </c>
      <c r="B1039" s="39" t="s">
        <v>369</v>
      </c>
      <c r="C1039" s="39" t="s">
        <v>2211</v>
      </c>
      <c r="D1039" s="39" t="s">
        <v>102</v>
      </c>
      <c r="E1039" s="48" t="s">
        <v>1172</v>
      </c>
      <c r="F1039" s="49" t="s">
        <v>128</v>
      </c>
      <c r="G1039" s="39" t="s">
        <v>2844</v>
      </c>
    </row>
    <row r="1040" customFormat="false" ht="18" hidden="false" customHeight="true" outlineLevel="0" collapsed="false">
      <c r="A1040" s="47" t="n">
        <v>1039</v>
      </c>
      <c r="B1040" s="39" t="s">
        <v>369</v>
      </c>
      <c r="C1040" s="39" t="s">
        <v>2211</v>
      </c>
      <c r="D1040" s="39" t="s">
        <v>77</v>
      </c>
      <c r="E1040" s="48" t="s">
        <v>1137</v>
      </c>
      <c r="F1040" s="49" t="s">
        <v>79</v>
      </c>
      <c r="G1040" s="39" t="s">
        <v>2863</v>
      </c>
    </row>
    <row r="1041" customFormat="false" ht="18" hidden="false" customHeight="true" outlineLevel="0" collapsed="false">
      <c r="A1041" s="47" t="n">
        <v>1040</v>
      </c>
      <c r="B1041" s="39" t="s">
        <v>369</v>
      </c>
      <c r="C1041" s="39" t="s">
        <v>2211</v>
      </c>
      <c r="D1041" s="39" t="s">
        <v>2845</v>
      </c>
      <c r="E1041" s="48" t="s">
        <v>2214</v>
      </c>
      <c r="F1041" s="49" t="s">
        <v>3277</v>
      </c>
      <c r="G1041" s="39" t="s">
        <v>2847</v>
      </c>
    </row>
    <row r="1042" customFormat="false" ht="18" hidden="false" customHeight="true" outlineLevel="0" collapsed="false">
      <c r="A1042" s="47" t="n">
        <v>1041</v>
      </c>
      <c r="B1042" s="39" t="s">
        <v>369</v>
      </c>
      <c r="C1042" s="39" t="s">
        <v>2211</v>
      </c>
      <c r="D1042" s="39" t="s">
        <v>2848</v>
      </c>
      <c r="E1042" s="48" t="s">
        <v>2215</v>
      </c>
      <c r="F1042" s="49" t="s">
        <v>2967</v>
      </c>
      <c r="G1042" s="39" t="s">
        <v>2847</v>
      </c>
    </row>
    <row r="1043" customFormat="false" ht="18" hidden="false" customHeight="true" outlineLevel="0" collapsed="false">
      <c r="A1043" s="47" t="n">
        <v>1042</v>
      </c>
      <c r="B1043" s="39" t="s">
        <v>369</v>
      </c>
      <c r="C1043" s="39" t="s">
        <v>2211</v>
      </c>
      <c r="D1043" s="39" t="s">
        <v>2850</v>
      </c>
      <c r="E1043" s="48" t="s">
        <v>2216</v>
      </c>
      <c r="F1043" s="49" t="s">
        <v>3278</v>
      </c>
      <c r="G1043" s="39" t="s">
        <v>2852</v>
      </c>
    </row>
    <row r="1044" customFormat="false" ht="18" hidden="false" customHeight="true" outlineLevel="0" collapsed="false">
      <c r="A1044" s="47" t="n">
        <v>1043</v>
      </c>
      <c r="B1044" s="39" t="s">
        <v>369</v>
      </c>
      <c r="C1044" s="39" t="s">
        <v>2211</v>
      </c>
      <c r="D1044" s="39" t="s">
        <v>109</v>
      </c>
      <c r="E1044" s="48" t="s">
        <v>1851</v>
      </c>
      <c r="F1044" s="49" t="s">
        <v>151</v>
      </c>
      <c r="G1044" s="39" t="s">
        <v>2853</v>
      </c>
    </row>
    <row r="1045" customFormat="false" ht="18" hidden="false" customHeight="true" outlineLevel="0" collapsed="false">
      <c r="A1045" s="47" t="n">
        <v>1044</v>
      </c>
      <c r="B1045" s="39" t="s">
        <v>2217</v>
      </c>
      <c r="C1045" s="39" t="s">
        <v>2218</v>
      </c>
      <c r="D1045" s="39" t="s">
        <v>101</v>
      </c>
      <c r="E1045" s="48" t="s">
        <v>2219</v>
      </c>
      <c r="F1045" s="49" t="s">
        <v>661</v>
      </c>
      <c r="G1045" s="39" t="s">
        <v>2843</v>
      </c>
    </row>
    <row r="1046" customFormat="false" ht="18" hidden="false" customHeight="true" outlineLevel="0" collapsed="false">
      <c r="A1046" s="47" t="n">
        <v>1045</v>
      </c>
      <c r="B1046" s="39" t="s">
        <v>2217</v>
      </c>
      <c r="C1046" s="39" t="s">
        <v>2218</v>
      </c>
      <c r="D1046" s="39" t="s">
        <v>102</v>
      </c>
      <c r="E1046" s="48" t="s">
        <v>1172</v>
      </c>
      <c r="F1046" s="49" t="s">
        <v>128</v>
      </c>
      <c r="G1046" s="39" t="s">
        <v>2844</v>
      </c>
    </row>
    <row r="1047" customFormat="false" ht="18" hidden="false" customHeight="true" outlineLevel="0" collapsed="false">
      <c r="A1047" s="47" t="n">
        <v>1046</v>
      </c>
      <c r="B1047" s="39" t="s">
        <v>2217</v>
      </c>
      <c r="C1047" s="39" t="s">
        <v>2218</v>
      </c>
      <c r="D1047" s="39" t="s">
        <v>2850</v>
      </c>
      <c r="E1047" s="48" t="s">
        <v>2222</v>
      </c>
      <c r="F1047" s="49" t="s">
        <v>3132</v>
      </c>
      <c r="G1047" s="39" t="s">
        <v>2852</v>
      </c>
    </row>
    <row r="1048" customFormat="false" ht="18" hidden="false" customHeight="true" outlineLevel="0" collapsed="false">
      <c r="A1048" s="47" t="n">
        <v>1047</v>
      </c>
      <c r="B1048" s="39" t="s">
        <v>618</v>
      </c>
      <c r="C1048" s="39" t="s">
        <v>2223</v>
      </c>
      <c r="D1048" s="39" t="s">
        <v>2840</v>
      </c>
      <c r="E1048" s="48" t="s">
        <v>2224</v>
      </c>
      <c r="F1048" s="49" t="s">
        <v>3279</v>
      </c>
      <c r="G1048" s="39" t="s">
        <v>2898</v>
      </c>
    </row>
    <row r="1049" customFormat="false" ht="18" hidden="false" customHeight="true" outlineLevel="0" collapsed="false">
      <c r="A1049" s="47" t="n">
        <v>1048</v>
      </c>
      <c r="B1049" s="39" t="s">
        <v>618</v>
      </c>
      <c r="C1049" s="39" t="s">
        <v>2223</v>
      </c>
      <c r="D1049" s="39" t="s">
        <v>101</v>
      </c>
      <c r="E1049" s="48" t="s">
        <v>2225</v>
      </c>
      <c r="F1049" s="49" t="s">
        <v>617</v>
      </c>
      <c r="G1049" s="39" t="s">
        <v>2843</v>
      </c>
    </row>
    <row r="1050" customFormat="false" ht="18" hidden="false" customHeight="true" outlineLevel="0" collapsed="false">
      <c r="A1050" s="47" t="n">
        <v>1049</v>
      </c>
      <c r="B1050" s="39" t="s">
        <v>618</v>
      </c>
      <c r="C1050" s="39" t="s">
        <v>2223</v>
      </c>
      <c r="D1050" s="39" t="s">
        <v>102</v>
      </c>
      <c r="E1050" s="48" t="s">
        <v>1863</v>
      </c>
      <c r="F1050" s="49" t="s">
        <v>257</v>
      </c>
      <c r="G1050" s="39" t="s">
        <v>2844</v>
      </c>
    </row>
    <row r="1051" customFormat="false" ht="18" hidden="false" customHeight="true" outlineLevel="0" collapsed="false">
      <c r="A1051" s="47" t="n">
        <v>1050</v>
      </c>
      <c r="B1051" s="39" t="s">
        <v>618</v>
      </c>
      <c r="C1051" s="39" t="s">
        <v>2223</v>
      </c>
      <c r="D1051" s="39" t="s">
        <v>77</v>
      </c>
      <c r="E1051" s="48" t="s">
        <v>3147</v>
      </c>
      <c r="F1051" s="49" t="s">
        <v>81</v>
      </c>
      <c r="G1051" s="39" t="s">
        <v>3148</v>
      </c>
    </row>
    <row r="1052" customFormat="false" ht="18" hidden="false" customHeight="true" outlineLevel="0" collapsed="false">
      <c r="A1052" s="47" t="n">
        <v>1051</v>
      </c>
      <c r="B1052" s="39" t="s">
        <v>618</v>
      </c>
      <c r="C1052" s="39" t="s">
        <v>2223</v>
      </c>
      <c r="D1052" s="39" t="s">
        <v>2845</v>
      </c>
      <c r="E1052" s="48" t="s">
        <v>2226</v>
      </c>
      <c r="F1052" s="49" t="s">
        <v>3280</v>
      </c>
      <c r="G1052" s="39" t="s">
        <v>2847</v>
      </c>
    </row>
    <row r="1053" customFormat="false" ht="18" hidden="false" customHeight="true" outlineLevel="0" collapsed="false">
      <c r="A1053" s="47" t="n">
        <v>1052</v>
      </c>
      <c r="B1053" s="39" t="s">
        <v>618</v>
      </c>
      <c r="C1053" s="39" t="s">
        <v>2223</v>
      </c>
      <c r="D1053" s="39" t="s">
        <v>2848</v>
      </c>
      <c r="E1053" s="48" t="s">
        <v>2227</v>
      </c>
      <c r="F1053" s="49" t="s">
        <v>3281</v>
      </c>
      <c r="G1053" s="39" t="s">
        <v>2847</v>
      </c>
    </row>
    <row r="1054" customFormat="false" ht="18" hidden="false" customHeight="true" outlineLevel="0" collapsed="false">
      <c r="A1054" s="47" t="n">
        <v>1053</v>
      </c>
      <c r="B1054" s="39" t="s">
        <v>618</v>
      </c>
      <c r="C1054" s="39" t="s">
        <v>2223</v>
      </c>
      <c r="D1054" s="39" t="s">
        <v>106</v>
      </c>
      <c r="E1054" s="48" t="s">
        <v>1849</v>
      </c>
      <c r="F1054" s="49" t="s">
        <v>1149</v>
      </c>
      <c r="G1054" s="39" t="s">
        <v>3150</v>
      </c>
    </row>
    <row r="1055" customFormat="false" ht="18" hidden="false" customHeight="true" outlineLevel="0" collapsed="false">
      <c r="A1055" s="47" t="n">
        <v>1054</v>
      </c>
      <c r="B1055" s="39" t="s">
        <v>618</v>
      </c>
      <c r="C1055" s="39" t="s">
        <v>2223</v>
      </c>
      <c r="D1055" s="39" t="s">
        <v>2850</v>
      </c>
      <c r="E1055" s="48" t="s">
        <v>2228</v>
      </c>
      <c r="F1055" s="49" t="s">
        <v>3282</v>
      </c>
      <c r="G1055" s="39" t="s">
        <v>2852</v>
      </c>
    </row>
    <row r="1056" customFormat="false" ht="18" hidden="false" customHeight="true" outlineLevel="0" collapsed="false">
      <c r="A1056" s="47" t="n">
        <v>1055</v>
      </c>
      <c r="B1056" s="39" t="s">
        <v>618</v>
      </c>
      <c r="C1056" s="39" t="s">
        <v>2223</v>
      </c>
      <c r="D1056" s="39" t="s">
        <v>109</v>
      </c>
      <c r="E1056" s="48" t="s">
        <v>2034</v>
      </c>
      <c r="F1056" s="49" t="s">
        <v>130</v>
      </c>
      <c r="G1056" s="39" t="s">
        <v>2853</v>
      </c>
    </row>
    <row r="1057" customFormat="false" ht="18" hidden="false" customHeight="true" outlineLevel="0" collapsed="false">
      <c r="A1057" s="47" t="n">
        <v>1056</v>
      </c>
      <c r="B1057" s="39" t="s">
        <v>290</v>
      </c>
      <c r="C1057" s="39" t="s">
        <v>2229</v>
      </c>
      <c r="D1057" s="39" t="s">
        <v>2840</v>
      </c>
      <c r="E1057" s="48" t="s">
        <v>2230</v>
      </c>
      <c r="F1057" s="49" t="s">
        <v>3283</v>
      </c>
      <c r="G1057" s="39" t="s">
        <v>2898</v>
      </c>
    </row>
    <row r="1058" customFormat="false" ht="18" hidden="false" customHeight="true" outlineLevel="0" collapsed="false">
      <c r="A1058" s="47" t="n">
        <v>1057</v>
      </c>
      <c r="B1058" s="39" t="s">
        <v>290</v>
      </c>
      <c r="C1058" s="39" t="s">
        <v>2229</v>
      </c>
      <c r="D1058" s="39" t="s">
        <v>101</v>
      </c>
      <c r="E1058" s="48" t="s">
        <v>2231</v>
      </c>
      <c r="F1058" s="49" t="s">
        <v>289</v>
      </c>
      <c r="G1058" s="39" t="s">
        <v>2843</v>
      </c>
    </row>
    <row r="1059" customFormat="false" ht="18" hidden="false" customHeight="true" outlineLevel="0" collapsed="false">
      <c r="A1059" s="47" t="n">
        <v>1058</v>
      </c>
      <c r="B1059" s="39" t="s">
        <v>290</v>
      </c>
      <c r="C1059" s="39" t="s">
        <v>2229</v>
      </c>
      <c r="D1059" s="39" t="s">
        <v>102</v>
      </c>
      <c r="E1059" s="48" t="s">
        <v>1337</v>
      </c>
      <c r="F1059" s="49" t="s">
        <v>128</v>
      </c>
      <c r="G1059" s="39" t="s">
        <v>2844</v>
      </c>
    </row>
    <row r="1060" customFormat="false" ht="18" hidden="false" customHeight="true" outlineLevel="0" collapsed="false">
      <c r="A1060" s="47" t="n">
        <v>1059</v>
      </c>
      <c r="B1060" s="39" t="s">
        <v>290</v>
      </c>
      <c r="C1060" s="39" t="s">
        <v>2229</v>
      </c>
      <c r="D1060" s="39" t="s">
        <v>77</v>
      </c>
      <c r="E1060" s="48" t="s">
        <v>3147</v>
      </c>
      <c r="F1060" s="49" t="s">
        <v>79</v>
      </c>
      <c r="G1060" s="39" t="s">
        <v>3148</v>
      </c>
    </row>
    <row r="1061" customFormat="false" ht="18" hidden="false" customHeight="true" outlineLevel="0" collapsed="false">
      <c r="A1061" s="47" t="n">
        <v>1060</v>
      </c>
      <c r="B1061" s="39" t="s">
        <v>290</v>
      </c>
      <c r="C1061" s="39" t="s">
        <v>2229</v>
      </c>
      <c r="D1061" s="39" t="s">
        <v>2850</v>
      </c>
      <c r="E1061" s="48" t="s">
        <v>2234</v>
      </c>
      <c r="F1061" s="49" t="s">
        <v>3284</v>
      </c>
      <c r="G1061" s="39" t="s">
        <v>2852</v>
      </c>
    </row>
    <row r="1062" customFormat="false" ht="18" hidden="false" customHeight="true" outlineLevel="0" collapsed="false">
      <c r="A1062" s="47" t="n">
        <v>1061</v>
      </c>
      <c r="B1062" s="39" t="s">
        <v>290</v>
      </c>
      <c r="C1062" s="39" t="s">
        <v>2229</v>
      </c>
      <c r="D1062" s="39" t="s">
        <v>109</v>
      </c>
      <c r="E1062" s="48" t="s">
        <v>1851</v>
      </c>
      <c r="F1062" s="49" t="s">
        <v>151</v>
      </c>
      <c r="G1062" s="39" t="s">
        <v>2853</v>
      </c>
    </row>
    <row r="1063" customFormat="false" ht="18" hidden="false" customHeight="true" outlineLevel="0" collapsed="false">
      <c r="A1063" s="47" t="n">
        <v>1062</v>
      </c>
      <c r="B1063" s="39" t="s">
        <v>2235</v>
      </c>
      <c r="C1063" s="39" t="s">
        <v>2236</v>
      </c>
      <c r="D1063" s="39" t="s">
        <v>101</v>
      </c>
      <c r="E1063" s="48" t="s">
        <v>2237</v>
      </c>
      <c r="F1063" s="49" t="s">
        <v>1075</v>
      </c>
      <c r="G1063" s="39" t="s">
        <v>2843</v>
      </c>
    </row>
    <row r="1064" customFormat="false" ht="18" hidden="false" customHeight="true" outlineLevel="0" collapsed="false">
      <c r="A1064" s="47" t="n">
        <v>1063</v>
      </c>
      <c r="B1064" s="39" t="s">
        <v>2235</v>
      </c>
      <c r="C1064" s="39" t="s">
        <v>2236</v>
      </c>
      <c r="D1064" s="39" t="s">
        <v>102</v>
      </c>
      <c r="E1064" s="48" t="s">
        <v>1201</v>
      </c>
      <c r="F1064" s="49" t="s">
        <v>128</v>
      </c>
      <c r="G1064" s="39" t="s">
        <v>2844</v>
      </c>
    </row>
    <row r="1065" customFormat="false" ht="18" hidden="false" customHeight="true" outlineLevel="0" collapsed="false">
      <c r="A1065" s="47" t="n">
        <v>1064</v>
      </c>
      <c r="B1065" s="39" t="s">
        <v>2235</v>
      </c>
      <c r="C1065" s="39" t="s">
        <v>2236</v>
      </c>
      <c r="D1065" s="39" t="s">
        <v>77</v>
      </c>
      <c r="E1065" s="48" t="s">
        <v>3147</v>
      </c>
      <c r="F1065" s="49" t="s">
        <v>79</v>
      </c>
      <c r="G1065" s="39" t="s">
        <v>3148</v>
      </c>
    </row>
    <row r="1066" customFormat="false" ht="18" hidden="false" customHeight="true" outlineLevel="0" collapsed="false">
      <c r="A1066" s="47" t="n">
        <v>1065</v>
      </c>
      <c r="B1066" s="39" t="s">
        <v>2235</v>
      </c>
      <c r="C1066" s="39" t="s">
        <v>2236</v>
      </c>
      <c r="D1066" s="39" t="s">
        <v>2845</v>
      </c>
      <c r="E1066" s="48" t="s">
        <v>2013</v>
      </c>
      <c r="F1066" s="49" t="s">
        <v>2890</v>
      </c>
      <c r="G1066" s="39" t="s">
        <v>2847</v>
      </c>
    </row>
    <row r="1067" customFormat="false" ht="18" hidden="false" customHeight="true" outlineLevel="0" collapsed="false">
      <c r="A1067" s="47" t="n">
        <v>1066</v>
      </c>
      <c r="B1067" s="39" t="s">
        <v>2235</v>
      </c>
      <c r="C1067" s="39" t="s">
        <v>2236</v>
      </c>
      <c r="D1067" s="39" t="s">
        <v>2848</v>
      </c>
      <c r="E1067" s="48" t="s">
        <v>2238</v>
      </c>
      <c r="F1067" s="49" t="s">
        <v>3107</v>
      </c>
      <c r="G1067" s="39" t="s">
        <v>2847</v>
      </c>
    </row>
    <row r="1068" customFormat="false" ht="18" hidden="false" customHeight="true" outlineLevel="0" collapsed="false">
      <c r="A1068" s="47" t="n">
        <v>1067</v>
      </c>
      <c r="B1068" s="39" t="s">
        <v>2235</v>
      </c>
      <c r="C1068" s="39" t="s">
        <v>2236</v>
      </c>
      <c r="D1068" s="39" t="s">
        <v>2850</v>
      </c>
      <c r="E1068" s="48" t="s">
        <v>2239</v>
      </c>
      <c r="F1068" s="49" t="s">
        <v>2959</v>
      </c>
      <c r="G1068" s="39" t="s">
        <v>2852</v>
      </c>
    </row>
    <row r="1069" customFormat="false" ht="18" hidden="false" customHeight="true" outlineLevel="0" collapsed="false">
      <c r="A1069" s="47" t="n">
        <v>1068</v>
      </c>
      <c r="B1069" s="39" t="s">
        <v>2235</v>
      </c>
      <c r="C1069" s="39" t="s">
        <v>2236</v>
      </c>
      <c r="D1069" s="39" t="s">
        <v>109</v>
      </c>
      <c r="E1069" s="48" t="s">
        <v>1836</v>
      </c>
      <c r="F1069" s="49" t="s">
        <v>151</v>
      </c>
      <c r="G1069" s="39" t="s">
        <v>2853</v>
      </c>
    </row>
    <row r="1070" customFormat="false" ht="18" hidden="false" customHeight="true" outlineLevel="0" collapsed="false">
      <c r="A1070" s="47" t="n">
        <v>1069</v>
      </c>
      <c r="B1070" s="39" t="s">
        <v>2240</v>
      </c>
      <c r="C1070" s="39" t="s">
        <v>2241</v>
      </c>
      <c r="D1070" s="39" t="s">
        <v>101</v>
      </c>
      <c r="E1070" s="48" t="s">
        <v>2242</v>
      </c>
      <c r="F1070" s="49" t="s">
        <v>927</v>
      </c>
      <c r="G1070" s="39" t="s">
        <v>2843</v>
      </c>
    </row>
    <row r="1071" customFormat="false" ht="18" hidden="false" customHeight="true" outlineLevel="0" collapsed="false">
      <c r="A1071" s="47" t="n">
        <v>1070</v>
      </c>
      <c r="B1071" s="39" t="s">
        <v>2240</v>
      </c>
      <c r="C1071" s="39" t="s">
        <v>2241</v>
      </c>
      <c r="D1071" s="39" t="s">
        <v>77</v>
      </c>
      <c r="E1071" s="48" t="s">
        <v>2243</v>
      </c>
      <c r="F1071" s="49" t="s">
        <v>82</v>
      </c>
      <c r="G1071" s="39" t="s">
        <v>2863</v>
      </c>
    </row>
    <row r="1072" customFormat="false" ht="18" hidden="false" customHeight="true" outlineLevel="0" collapsed="false">
      <c r="A1072" s="47" t="n">
        <v>1071</v>
      </c>
      <c r="B1072" s="39" t="s">
        <v>2240</v>
      </c>
      <c r="C1072" s="39" t="s">
        <v>2241</v>
      </c>
      <c r="D1072" s="39" t="s">
        <v>2845</v>
      </c>
      <c r="E1072" s="48" t="s">
        <v>2244</v>
      </c>
      <c r="F1072" s="49" t="s">
        <v>3285</v>
      </c>
      <c r="G1072" s="39" t="s">
        <v>2847</v>
      </c>
    </row>
    <row r="1073" customFormat="false" ht="18" hidden="false" customHeight="true" outlineLevel="0" collapsed="false">
      <c r="A1073" s="47" t="n">
        <v>1072</v>
      </c>
      <c r="B1073" s="39" t="s">
        <v>2240</v>
      </c>
      <c r="C1073" s="39" t="s">
        <v>2241</v>
      </c>
      <c r="D1073" s="39" t="s">
        <v>2850</v>
      </c>
      <c r="E1073" s="48" t="s">
        <v>2246</v>
      </c>
      <c r="F1073" s="49" t="s">
        <v>3286</v>
      </c>
      <c r="G1073" s="39" t="s">
        <v>2852</v>
      </c>
    </row>
    <row r="1074" customFormat="false" ht="18" hidden="false" customHeight="true" outlineLevel="0" collapsed="false">
      <c r="A1074" s="47" t="n">
        <v>1073</v>
      </c>
      <c r="B1074" s="39" t="s">
        <v>2240</v>
      </c>
      <c r="C1074" s="39" t="s">
        <v>2241</v>
      </c>
      <c r="D1074" s="39" t="s">
        <v>109</v>
      </c>
      <c r="E1074" s="48" t="s">
        <v>1836</v>
      </c>
      <c r="F1074" s="49" t="s">
        <v>151</v>
      </c>
      <c r="G1074" s="39" t="s">
        <v>2853</v>
      </c>
    </row>
    <row r="1075" customFormat="false" ht="18" hidden="false" customHeight="true" outlineLevel="0" collapsed="false">
      <c r="A1075" s="47" t="n">
        <v>1074</v>
      </c>
      <c r="B1075" s="39" t="s">
        <v>867</v>
      </c>
      <c r="C1075" s="39" t="s">
        <v>2247</v>
      </c>
      <c r="D1075" s="39" t="s">
        <v>101</v>
      </c>
      <c r="E1075" s="48" t="s">
        <v>2249</v>
      </c>
      <c r="F1075" s="49" t="s">
        <v>866</v>
      </c>
      <c r="G1075" s="39" t="s">
        <v>2843</v>
      </c>
    </row>
    <row r="1076" customFormat="false" ht="18" hidden="false" customHeight="true" outlineLevel="0" collapsed="false">
      <c r="A1076" s="47" t="n">
        <v>1075</v>
      </c>
      <c r="B1076" s="39" t="s">
        <v>867</v>
      </c>
      <c r="C1076" s="39" t="s">
        <v>2247</v>
      </c>
      <c r="D1076" s="39" t="s">
        <v>102</v>
      </c>
      <c r="E1076" s="48" t="s">
        <v>1577</v>
      </c>
      <c r="F1076" s="49" t="s">
        <v>217</v>
      </c>
      <c r="G1076" s="39" t="s">
        <v>2844</v>
      </c>
    </row>
    <row r="1077" customFormat="false" ht="18" hidden="false" customHeight="true" outlineLevel="0" collapsed="false">
      <c r="A1077" s="47" t="n">
        <v>1076</v>
      </c>
      <c r="B1077" s="39" t="s">
        <v>867</v>
      </c>
      <c r="C1077" s="39" t="s">
        <v>2247</v>
      </c>
      <c r="D1077" s="39" t="s">
        <v>2850</v>
      </c>
      <c r="E1077" s="48" t="s">
        <v>2252</v>
      </c>
      <c r="F1077" s="49" t="s">
        <v>2913</v>
      </c>
      <c r="G1077" s="39" t="s">
        <v>2852</v>
      </c>
    </row>
    <row r="1078" customFormat="false" ht="18" hidden="false" customHeight="true" outlineLevel="0" collapsed="false">
      <c r="A1078" s="47" t="n">
        <v>1077</v>
      </c>
      <c r="B1078" s="39" t="s">
        <v>867</v>
      </c>
      <c r="C1078" s="39" t="s">
        <v>2247</v>
      </c>
      <c r="D1078" s="39" t="s">
        <v>109</v>
      </c>
      <c r="E1078" s="48" t="s">
        <v>2034</v>
      </c>
      <c r="F1078" s="49" t="s">
        <v>130</v>
      </c>
      <c r="G1078" s="39" t="s">
        <v>2853</v>
      </c>
    </row>
    <row r="1079" customFormat="false" ht="18" hidden="false" customHeight="true" outlineLevel="0" collapsed="false">
      <c r="A1079" s="47" t="n">
        <v>1078</v>
      </c>
      <c r="B1079" s="39" t="s">
        <v>2253</v>
      </c>
      <c r="C1079" s="39" t="s">
        <v>2254</v>
      </c>
      <c r="D1079" s="39" t="s">
        <v>2840</v>
      </c>
      <c r="E1079" s="48" t="s">
        <v>2255</v>
      </c>
      <c r="F1079" s="49" t="s">
        <v>1689</v>
      </c>
      <c r="G1079" s="39" t="s">
        <v>2898</v>
      </c>
    </row>
    <row r="1080" customFormat="false" ht="18" hidden="false" customHeight="true" outlineLevel="0" collapsed="false">
      <c r="A1080" s="47" t="n">
        <v>1079</v>
      </c>
      <c r="B1080" s="39" t="s">
        <v>2253</v>
      </c>
      <c r="C1080" s="39" t="s">
        <v>2254</v>
      </c>
      <c r="D1080" s="39" t="s">
        <v>101</v>
      </c>
      <c r="E1080" s="48" t="s">
        <v>2256</v>
      </c>
      <c r="F1080" s="49" t="s">
        <v>649</v>
      </c>
      <c r="G1080" s="39" t="s">
        <v>2843</v>
      </c>
    </row>
    <row r="1081" customFormat="false" ht="18" hidden="false" customHeight="true" outlineLevel="0" collapsed="false">
      <c r="A1081" s="47" t="n">
        <v>1080</v>
      </c>
      <c r="B1081" s="39" t="s">
        <v>2253</v>
      </c>
      <c r="C1081" s="39" t="s">
        <v>2254</v>
      </c>
      <c r="D1081" s="39" t="s">
        <v>2845</v>
      </c>
      <c r="E1081" s="48" t="s">
        <v>2257</v>
      </c>
      <c r="F1081" s="49" t="s">
        <v>3021</v>
      </c>
      <c r="G1081" s="39" t="s">
        <v>2847</v>
      </c>
    </row>
    <row r="1082" customFormat="false" ht="18" hidden="false" customHeight="true" outlineLevel="0" collapsed="false">
      <c r="A1082" s="47" t="n">
        <v>1081</v>
      </c>
      <c r="B1082" s="39" t="s">
        <v>2253</v>
      </c>
      <c r="C1082" s="39" t="s">
        <v>2254</v>
      </c>
      <c r="D1082" s="39" t="s">
        <v>2848</v>
      </c>
      <c r="E1082" s="48" t="s">
        <v>2258</v>
      </c>
      <c r="F1082" s="49" t="s">
        <v>3287</v>
      </c>
      <c r="G1082" s="39" t="s">
        <v>2847</v>
      </c>
    </row>
    <row r="1083" customFormat="false" ht="18" hidden="false" customHeight="true" outlineLevel="0" collapsed="false">
      <c r="A1083" s="47" t="n">
        <v>1082</v>
      </c>
      <c r="B1083" s="39" t="s">
        <v>2253</v>
      </c>
      <c r="C1083" s="39" t="s">
        <v>2254</v>
      </c>
      <c r="D1083" s="39" t="s">
        <v>106</v>
      </c>
      <c r="E1083" s="48" t="s">
        <v>1900</v>
      </c>
      <c r="F1083" s="49" t="s">
        <v>1140</v>
      </c>
      <c r="G1083" s="39" t="s">
        <v>3150</v>
      </c>
    </row>
    <row r="1084" customFormat="false" ht="18" hidden="false" customHeight="true" outlineLevel="0" collapsed="false">
      <c r="A1084" s="47" t="n">
        <v>1083</v>
      </c>
      <c r="B1084" s="39" t="s">
        <v>2253</v>
      </c>
      <c r="C1084" s="39" t="s">
        <v>2254</v>
      </c>
      <c r="D1084" s="39" t="s">
        <v>2850</v>
      </c>
      <c r="E1084" s="48" t="s">
        <v>2259</v>
      </c>
      <c r="F1084" s="49" t="s">
        <v>2608</v>
      </c>
      <c r="G1084" s="39" t="s">
        <v>2852</v>
      </c>
    </row>
    <row r="1085" customFormat="false" ht="18" hidden="false" customHeight="true" outlineLevel="0" collapsed="false">
      <c r="A1085" s="47" t="n">
        <v>1084</v>
      </c>
      <c r="B1085" s="39" t="s">
        <v>786</v>
      </c>
      <c r="C1085" s="39" t="s">
        <v>2260</v>
      </c>
      <c r="D1085" s="39" t="s">
        <v>2840</v>
      </c>
      <c r="E1085" s="48" t="s">
        <v>2261</v>
      </c>
      <c r="F1085" s="49" t="s">
        <v>3288</v>
      </c>
      <c r="G1085" s="39" t="s">
        <v>2898</v>
      </c>
    </row>
    <row r="1086" customFormat="false" ht="18" hidden="false" customHeight="true" outlineLevel="0" collapsed="false">
      <c r="A1086" s="47" t="n">
        <v>1085</v>
      </c>
      <c r="B1086" s="39" t="s">
        <v>786</v>
      </c>
      <c r="C1086" s="39" t="s">
        <v>2260</v>
      </c>
      <c r="D1086" s="39" t="s">
        <v>100</v>
      </c>
      <c r="E1086" s="48" t="s">
        <v>2262</v>
      </c>
      <c r="F1086" s="49" t="s">
        <v>784</v>
      </c>
      <c r="G1086" s="39" t="s">
        <v>2878</v>
      </c>
    </row>
    <row r="1087" customFormat="false" ht="18" hidden="false" customHeight="true" outlineLevel="0" collapsed="false">
      <c r="A1087" s="47" t="n">
        <v>1086</v>
      </c>
      <c r="B1087" s="39" t="s">
        <v>786</v>
      </c>
      <c r="C1087" s="39" t="s">
        <v>2260</v>
      </c>
      <c r="D1087" s="39" t="s">
        <v>101</v>
      </c>
      <c r="E1087" s="48" t="s">
        <v>2263</v>
      </c>
      <c r="F1087" s="49" t="s">
        <v>785</v>
      </c>
      <c r="G1087" s="39" t="s">
        <v>2843</v>
      </c>
    </row>
    <row r="1088" customFormat="false" ht="18" hidden="false" customHeight="true" outlineLevel="0" collapsed="false">
      <c r="A1088" s="47" t="n">
        <v>1087</v>
      </c>
      <c r="B1088" s="39" t="s">
        <v>786</v>
      </c>
      <c r="C1088" s="39" t="s">
        <v>2260</v>
      </c>
      <c r="D1088" s="39" t="s">
        <v>102</v>
      </c>
      <c r="E1088" s="48" t="s">
        <v>1824</v>
      </c>
      <c r="F1088" s="49" t="s">
        <v>128</v>
      </c>
      <c r="G1088" s="39" t="s">
        <v>2844</v>
      </c>
    </row>
    <row r="1089" customFormat="false" ht="18" hidden="false" customHeight="true" outlineLevel="0" collapsed="false">
      <c r="A1089" s="47" t="n">
        <v>1088</v>
      </c>
      <c r="B1089" s="39" t="s">
        <v>786</v>
      </c>
      <c r="C1089" s="39" t="s">
        <v>2260</v>
      </c>
      <c r="D1089" s="39" t="s">
        <v>2845</v>
      </c>
      <c r="E1089" s="48" t="s">
        <v>2264</v>
      </c>
      <c r="F1089" s="49" t="s">
        <v>3289</v>
      </c>
      <c r="G1089" s="39" t="s">
        <v>2847</v>
      </c>
    </row>
    <row r="1090" customFormat="false" ht="18" hidden="false" customHeight="true" outlineLevel="0" collapsed="false">
      <c r="A1090" s="47" t="n">
        <v>1089</v>
      </c>
      <c r="B1090" s="39" t="s">
        <v>786</v>
      </c>
      <c r="C1090" s="39" t="s">
        <v>2260</v>
      </c>
      <c r="D1090" s="39" t="s">
        <v>2848</v>
      </c>
      <c r="E1090" s="48" t="s">
        <v>2265</v>
      </c>
      <c r="F1090" s="49" t="s">
        <v>3290</v>
      </c>
      <c r="G1090" s="39" t="s">
        <v>2847</v>
      </c>
    </row>
    <row r="1091" customFormat="false" ht="18" hidden="false" customHeight="true" outlineLevel="0" collapsed="false">
      <c r="A1091" s="47" t="n">
        <v>1090</v>
      </c>
      <c r="B1091" s="39" t="s">
        <v>786</v>
      </c>
      <c r="C1091" s="39" t="s">
        <v>2260</v>
      </c>
      <c r="D1091" s="39" t="s">
        <v>2850</v>
      </c>
      <c r="E1091" s="48" t="s">
        <v>2267</v>
      </c>
      <c r="F1091" s="49" t="s">
        <v>3291</v>
      </c>
      <c r="G1091" s="39" t="s">
        <v>2852</v>
      </c>
    </row>
    <row r="1092" customFormat="false" ht="18" hidden="false" customHeight="true" outlineLevel="0" collapsed="false">
      <c r="A1092" s="47" t="n">
        <v>1091</v>
      </c>
      <c r="B1092" s="39" t="s">
        <v>786</v>
      </c>
      <c r="C1092" s="39" t="s">
        <v>2260</v>
      </c>
      <c r="D1092" s="39" t="s">
        <v>109</v>
      </c>
      <c r="E1092" s="48" t="s">
        <v>2034</v>
      </c>
      <c r="F1092" s="49" t="s">
        <v>130</v>
      </c>
      <c r="G1092" s="39" t="s">
        <v>2853</v>
      </c>
    </row>
    <row r="1093" customFormat="false" ht="18" hidden="false" customHeight="true" outlineLevel="0" collapsed="false">
      <c r="A1093" s="47" t="n">
        <v>1092</v>
      </c>
      <c r="B1093" s="39" t="s">
        <v>998</v>
      </c>
      <c r="C1093" s="39" t="s">
        <v>2268</v>
      </c>
      <c r="D1093" s="39" t="s">
        <v>101</v>
      </c>
      <c r="E1093" s="48" t="s">
        <v>2270</v>
      </c>
      <c r="F1093" s="49" t="s">
        <v>997</v>
      </c>
      <c r="G1093" s="39" t="s">
        <v>2843</v>
      </c>
    </row>
    <row r="1094" customFormat="false" ht="18" hidden="false" customHeight="true" outlineLevel="0" collapsed="false">
      <c r="A1094" s="47" t="n">
        <v>1093</v>
      </c>
      <c r="B1094" s="39" t="s">
        <v>998</v>
      </c>
      <c r="C1094" s="39" t="s">
        <v>2268</v>
      </c>
      <c r="D1094" s="39" t="s">
        <v>77</v>
      </c>
      <c r="E1094" s="48" t="s">
        <v>1173</v>
      </c>
      <c r="F1094" s="49" t="s">
        <v>79</v>
      </c>
      <c r="G1094" s="39" t="s">
        <v>2863</v>
      </c>
    </row>
    <row r="1095" customFormat="false" ht="18" hidden="false" customHeight="true" outlineLevel="0" collapsed="false">
      <c r="A1095" s="47" t="n">
        <v>1094</v>
      </c>
      <c r="B1095" s="39" t="s">
        <v>998</v>
      </c>
      <c r="C1095" s="39" t="s">
        <v>2268</v>
      </c>
      <c r="D1095" s="39" t="s">
        <v>2845</v>
      </c>
      <c r="E1095" s="48" t="s">
        <v>2271</v>
      </c>
      <c r="F1095" s="49" t="s">
        <v>3292</v>
      </c>
      <c r="G1095" s="39" t="s">
        <v>2847</v>
      </c>
    </row>
    <row r="1096" customFormat="false" ht="18" hidden="false" customHeight="true" outlineLevel="0" collapsed="false">
      <c r="A1096" s="47" t="n">
        <v>1095</v>
      </c>
      <c r="B1096" s="39" t="s">
        <v>998</v>
      </c>
      <c r="C1096" s="39" t="s">
        <v>2268</v>
      </c>
      <c r="D1096" s="39" t="s">
        <v>2848</v>
      </c>
      <c r="E1096" s="48" t="s">
        <v>2271</v>
      </c>
      <c r="F1096" s="49" t="s">
        <v>3292</v>
      </c>
      <c r="G1096" s="39" t="s">
        <v>2847</v>
      </c>
    </row>
    <row r="1097" customFormat="false" ht="18" hidden="false" customHeight="true" outlineLevel="0" collapsed="false">
      <c r="A1097" s="47" t="n">
        <v>1096</v>
      </c>
      <c r="B1097" s="39" t="s">
        <v>998</v>
      </c>
      <c r="C1097" s="39" t="s">
        <v>2268</v>
      </c>
      <c r="D1097" s="39" t="s">
        <v>2850</v>
      </c>
      <c r="E1097" s="48" t="s">
        <v>2272</v>
      </c>
      <c r="F1097" s="49" t="s">
        <v>3293</v>
      </c>
      <c r="G1097" s="39" t="s">
        <v>2852</v>
      </c>
    </row>
    <row r="1098" customFormat="false" ht="18" hidden="false" customHeight="true" outlineLevel="0" collapsed="false">
      <c r="A1098" s="47" t="n">
        <v>1097</v>
      </c>
      <c r="B1098" s="39" t="s">
        <v>998</v>
      </c>
      <c r="C1098" s="39" t="s">
        <v>2268</v>
      </c>
      <c r="D1098" s="39" t="s">
        <v>109</v>
      </c>
      <c r="E1098" s="48" t="s">
        <v>1836</v>
      </c>
      <c r="F1098" s="49" t="s">
        <v>151</v>
      </c>
      <c r="G1098" s="39" t="s">
        <v>2853</v>
      </c>
    </row>
    <row r="1099" customFormat="false" ht="18" hidden="false" customHeight="true" outlineLevel="0" collapsed="false">
      <c r="A1099" s="47" t="n">
        <v>1098</v>
      </c>
      <c r="B1099" s="39" t="s">
        <v>2273</v>
      </c>
      <c r="C1099" s="39" t="s">
        <v>2274</v>
      </c>
      <c r="D1099" s="39" t="s">
        <v>2840</v>
      </c>
      <c r="E1099" s="48" t="s">
        <v>2275</v>
      </c>
      <c r="F1099" s="49" t="s">
        <v>1663</v>
      </c>
      <c r="G1099" s="39" t="s">
        <v>2898</v>
      </c>
    </row>
    <row r="1100" customFormat="false" ht="18" hidden="false" customHeight="true" outlineLevel="0" collapsed="false">
      <c r="A1100" s="47" t="n">
        <v>1099</v>
      </c>
      <c r="B1100" s="39" t="s">
        <v>2273</v>
      </c>
      <c r="C1100" s="39" t="s">
        <v>2274</v>
      </c>
      <c r="D1100" s="39" t="s">
        <v>101</v>
      </c>
      <c r="E1100" s="48" t="s">
        <v>2276</v>
      </c>
      <c r="F1100" s="49" t="s">
        <v>758</v>
      </c>
      <c r="G1100" s="39" t="s">
        <v>2843</v>
      </c>
    </row>
    <row r="1101" customFormat="false" ht="18" hidden="false" customHeight="true" outlineLevel="0" collapsed="false">
      <c r="A1101" s="47" t="n">
        <v>1100</v>
      </c>
      <c r="B1101" s="39" t="s">
        <v>2273</v>
      </c>
      <c r="C1101" s="39" t="s">
        <v>2274</v>
      </c>
      <c r="D1101" s="39" t="s">
        <v>2845</v>
      </c>
      <c r="E1101" s="48" t="s">
        <v>2277</v>
      </c>
      <c r="F1101" s="49" t="s">
        <v>3294</v>
      </c>
      <c r="G1101" s="39" t="s">
        <v>2847</v>
      </c>
    </row>
    <row r="1102" customFormat="false" ht="18" hidden="false" customHeight="true" outlineLevel="0" collapsed="false">
      <c r="A1102" s="47" t="n">
        <v>1101</v>
      </c>
      <c r="B1102" s="39" t="s">
        <v>2273</v>
      </c>
      <c r="C1102" s="39" t="s">
        <v>2274</v>
      </c>
      <c r="D1102" s="39" t="s">
        <v>2850</v>
      </c>
      <c r="E1102" s="48" t="s">
        <v>2279</v>
      </c>
      <c r="F1102" s="49" t="s">
        <v>2413</v>
      </c>
      <c r="G1102" s="39" t="s">
        <v>2852</v>
      </c>
    </row>
    <row r="1103" customFormat="false" ht="18" hidden="false" customHeight="true" outlineLevel="0" collapsed="false">
      <c r="A1103" s="47" t="n">
        <v>1102</v>
      </c>
      <c r="B1103" s="39" t="s">
        <v>2273</v>
      </c>
      <c r="C1103" s="39" t="s">
        <v>2274</v>
      </c>
      <c r="D1103" s="39" t="s">
        <v>109</v>
      </c>
      <c r="E1103" s="48" t="s">
        <v>1851</v>
      </c>
      <c r="F1103" s="49" t="s">
        <v>151</v>
      </c>
      <c r="G1103" s="39" t="s">
        <v>2853</v>
      </c>
    </row>
    <row r="1104" customFormat="false" ht="18" hidden="false" customHeight="true" outlineLevel="0" collapsed="false">
      <c r="A1104" s="47" t="n">
        <v>1103</v>
      </c>
      <c r="B1104" s="39" t="s">
        <v>2280</v>
      </c>
      <c r="C1104" s="39" t="s">
        <v>2281</v>
      </c>
      <c r="D1104" s="39" t="s">
        <v>2840</v>
      </c>
      <c r="E1104" s="48" t="s">
        <v>2282</v>
      </c>
      <c r="F1104" s="49" t="s">
        <v>2297</v>
      </c>
      <c r="G1104" s="39" t="s">
        <v>2898</v>
      </c>
    </row>
    <row r="1105" customFormat="false" ht="18" hidden="false" customHeight="true" outlineLevel="0" collapsed="false">
      <c r="A1105" s="47" t="n">
        <v>1104</v>
      </c>
      <c r="B1105" s="39" t="s">
        <v>2280</v>
      </c>
      <c r="C1105" s="39" t="s">
        <v>2281</v>
      </c>
      <c r="D1105" s="39" t="s">
        <v>101</v>
      </c>
      <c r="E1105" s="48" t="s">
        <v>2283</v>
      </c>
      <c r="F1105" s="49" t="s">
        <v>195</v>
      </c>
      <c r="G1105" s="39" t="s">
        <v>2843</v>
      </c>
    </row>
    <row r="1106" customFormat="false" ht="18" hidden="false" customHeight="true" outlineLevel="0" collapsed="false">
      <c r="A1106" s="47" t="n">
        <v>1105</v>
      </c>
      <c r="B1106" s="39" t="s">
        <v>2280</v>
      </c>
      <c r="C1106" s="39" t="s">
        <v>2281</v>
      </c>
      <c r="D1106" s="39" t="s">
        <v>77</v>
      </c>
      <c r="E1106" s="48" t="s">
        <v>1162</v>
      </c>
      <c r="F1106" s="49" t="s">
        <v>79</v>
      </c>
      <c r="G1106" s="39" t="s">
        <v>2863</v>
      </c>
    </row>
    <row r="1107" customFormat="false" ht="18" hidden="false" customHeight="true" outlineLevel="0" collapsed="false">
      <c r="A1107" s="47" t="n">
        <v>1106</v>
      </c>
      <c r="B1107" s="39" t="s">
        <v>2280</v>
      </c>
      <c r="C1107" s="39" t="s">
        <v>2281</v>
      </c>
      <c r="D1107" s="39" t="s">
        <v>106</v>
      </c>
      <c r="E1107" s="48" t="s">
        <v>2286</v>
      </c>
      <c r="F1107" s="49" t="s">
        <v>2266</v>
      </c>
      <c r="G1107" s="39" t="s">
        <v>3150</v>
      </c>
    </row>
    <row r="1108" customFormat="false" ht="18" hidden="false" customHeight="true" outlineLevel="0" collapsed="false">
      <c r="A1108" s="47" t="n">
        <v>1107</v>
      </c>
      <c r="B1108" s="39" t="s">
        <v>2280</v>
      </c>
      <c r="C1108" s="39" t="s">
        <v>2281</v>
      </c>
      <c r="D1108" s="39" t="s">
        <v>2850</v>
      </c>
      <c r="E1108" s="48" t="s">
        <v>2287</v>
      </c>
      <c r="F1108" s="49" t="s">
        <v>3295</v>
      </c>
      <c r="G1108" s="39" t="s">
        <v>2852</v>
      </c>
    </row>
    <row r="1109" customFormat="false" ht="18" hidden="false" customHeight="true" outlineLevel="0" collapsed="false">
      <c r="A1109" s="47" t="n">
        <v>1108</v>
      </c>
      <c r="B1109" s="39" t="s">
        <v>2280</v>
      </c>
      <c r="C1109" s="39" t="s">
        <v>2281</v>
      </c>
      <c r="D1109" s="39" t="s">
        <v>109</v>
      </c>
      <c r="E1109" s="48" t="s">
        <v>1836</v>
      </c>
      <c r="F1109" s="49" t="s">
        <v>151</v>
      </c>
      <c r="G1109" s="39" t="s">
        <v>2853</v>
      </c>
    </row>
    <row r="1110" customFormat="false" ht="18" hidden="false" customHeight="true" outlineLevel="0" collapsed="false">
      <c r="A1110" s="47" t="n">
        <v>1109</v>
      </c>
      <c r="B1110" s="39" t="s">
        <v>1025</v>
      </c>
      <c r="C1110" s="39" t="s">
        <v>2288</v>
      </c>
      <c r="D1110" s="39" t="s">
        <v>100</v>
      </c>
      <c r="E1110" s="48" t="s">
        <v>2290</v>
      </c>
      <c r="F1110" s="49" t="s">
        <v>3147</v>
      </c>
      <c r="G1110" s="39" t="s">
        <v>3201</v>
      </c>
    </row>
    <row r="1111" customFormat="false" ht="18" hidden="false" customHeight="true" outlineLevel="0" collapsed="false">
      <c r="A1111" s="47" t="n">
        <v>1110</v>
      </c>
      <c r="B1111" s="39" t="s">
        <v>1025</v>
      </c>
      <c r="C1111" s="39" t="s">
        <v>2288</v>
      </c>
      <c r="D1111" s="39" t="s">
        <v>101</v>
      </c>
      <c r="E1111" s="48" t="s">
        <v>2291</v>
      </c>
      <c r="F1111" s="49" t="s">
        <v>1024</v>
      </c>
      <c r="G1111" s="39" t="s">
        <v>2843</v>
      </c>
    </row>
    <row r="1112" customFormat="false" ht="18" hidden="false" customHeight="true" outlineLevel="0" collapsed="false">
      <c r="A1112" s="47" t="n">
        <v>1111</v>
      </c>
      <c r="B1112" s="39" t="s">
        <v>1025</v>
      </c>
      <c r="C1112" s="39" t="s">
        <v>2288</v>
      </c>
      <c r="D1112" s="39" t="s">
        <v>2845</v>
      </c>
      <c r="E1112" s="48" t="s">
        <v>2292</v>
      </c>
      <c r="F1112" s="49" t="s">
        <v>3296</v>
      </c>
      <c r="G1112" s="39" t="s">
        <v>2847</v>
      </c>
    </row>
    <row r="1113" customFormat="false" ht="18" hidden="false" customHeight="true" outlineLevel="0" collapsed="false">
      <c r="A1113" s="47" t="n">
        <v>1112</v>
      </c>
      <c r="B1113" s="39" t="s">
        <v>1025</v>
      </c>
      <c r="C1113" s="39" t="s">
        <v>2288</v>
      </c>
      <c r="D1113" s="39" t="s">
        <v>2848</v>
      </c>
      <c r="E1113" s="48" t="s">
        <v>2293</v>
      </c>
      <c r="F1113" s="49" t="s">
        <v>3297</v>
      </c>
      <c r="G1113" s="39" t="s">
        <v>2847</v>
      </c>
    </row>
    <row r="1114" customFormat="false" ht="18" hidden="false" customHeight="true" outlineLevel="0" collapsed="false">
      <c r="A1114" s="47" t="n">
        <v>1113</v>
      </c>
      <c r="B1114" s="39" t="s">
        <v>1025</v>
      </c>
      <c r="C1114" s="39" t="s">
        <v>2288</v>
      </c>
      <c r="D1114" s="39" t="s">
        <v>2850</v>
      </c>
      <c r="E1114" s="48" t="s">
        <v>2294</v>
      </c>
      <c r="F1114" s="49" t="s">
        <v>2907</v>
      </c>
      <c r="G1114" s="39" t="s">
        <v>2852</v>
      </c>
    </row>
    <row r="1115" customFormat="false" ht="18" hidden="false" customHeight="true" outlineLevel="0" collapsed="false">
      <c r="A1115" s="47" t="n">
        <v>1114</v>
      </c>
      <c r="B1115" s="39" t="s">
        <v>2295</v>
      </c>
      <c r="C1115" s="39" t="s">
        <v>2296</v>
      </c>
      <c r="D1115" s="39" t="s">
        <v>101</v>
      </c>
      <c r="E1115" s="48" t="s">
        <v>2298</v>
      </c>
      <c r="F1115" s="49" t="s">
        <v>195</v>
      </c>
      <c r="G1115" s="39" t="s">
        <v>2843</v>
      </c>
    </row>
    <row r="1116" customFormat="false" ht="18" hidden="false" customHeight="true" outlineLevel="0" collapsed="false">
      <c r="A1116" s="47" t="n">
        <v>1115</v>
      </c>
      <c r="B1116" s="39" t="s">
        <v>2295</v>
      </c>
      <c r="C1116" s="39" t="s">
        <v>2296</v>
      </c>
      <c r="D1116" s="39" t="s">
        <v>77</v>
      </c>
      <c r="E1116" s="48" t="s">
        <v>1243</v>
      </c>
      <c r="F1116" s="49" t="s">
        <v>79</v>
      </c>
      <c r="G1116" s="39" t="s">
        <v>2863</v>
      </c>
    </row>
    <row r="1117" customFormat="false" ht="18" hidden="false" customHeight="true" outlineLevel="0" collapsed="false">
      <c r="A1117" s="47" t="n">
        <v>1116</v>
      </c>
      <c r="B1117" s="39" t="s">
        <v>2295</v>
      </c>
      <c r="C1117" s="39" t="s">
        <v>2296</v>
      </c>
      <c r="D1117" s="39" t="s">
        <v>2848</v>
      </c>
      <c r="E1117" s="48" t="s">
        <v>2299</v>
      </c>
      <c r="F1117" s="49" t="s">
        <v>2285</v>
      </c>
      <c r="G1117" s="39" t="s">
        <v>2847</v>
      </c>
    </row>
    <row r="1118" customFormat="false" ht="18" hidden="false" customHeight="true" outlineLevel="0" collapsed="false">
      <c r="A1118" s="47" t="n">
        <v>1117</v>
      </c>
      <c r="B1118" s="39" t="s">
        <v>2295</v>
      </c>
      <c r="C1118" s="39" t="s">
        <v>2296</v>
      </c>
      <c r="D1118" s="39" t="s">
        <v>2850</v>
      </c>
      <c r="E1118" s="48" t="s">
        <v>2300</v>
      </c>
      <c r="F1118" s="49" t="s">
        <v>3295</v>
      </c>
      <c r="G1118" s="39" t="s">
        <v>2852</v>
      </c>
    </row>
    <row r="1119" customFormat="false" ht="18" hidden="false" customHeight="true" outlineLevel="0" collapsed="false">
      <c r="A1119" s="47" t="n">
        <v>1118</v>
      </c>
      <c r="B1119" s="39" t="s">
        <v>2295</v>
      </c>
      <c r="C1119" s="39" t="s">
        <v>2296</v>
      </c>
      <c r="D1119" s="39" t="s">
        <v>109</v>
      </c>
      <c r="E1119" s="48" t="s">
        <v>1851</v>
      </c>
      <c r="F1119" s="49" t="s">
        <v>151</v>
      </c>
      <c r="G1119" s="39" t="s">
        <v>2853</v>
      </c>
    </row>
    <row r="1120" customFormat="false" ht="18" hidden="false" customHeight="true" outlineLevel="0" collapsed="false">
      <c r="A1120" s="47" t="n">
        <v>1119</v>
      </c>
      <c r="B1120" s="39" t="s">
        <v>2301</v>
      </c>
      <c r="C1120" s="39" t="s">
        <v>2302</v>
      </c>
      <c r="D1120" s="39" t="s">
        <v>100</v>
      </c>
      <c r="E1120" s="48" t="s">
        <v>2303</v>
      </c>
      <c r="F1120" s="49" t="s">
        <v>187</v>
      </c>
      <c r="G1120" s="39" t="s">
        <v>2878</v>
      </c>
    </row>
    <row r="1121" customFormat="false" ht="18" hidden="false" customHeight="true" outlineLevel="0" collapsed="false">
      <c r="A1121" s="47" t="n">
        <v>1120</v>
      </c>
      <c r="B1121" s="39" t="s">
        <v>2301</v>
      </c>
      <c r="C1121" s="39" t="s">
        <v>2302</v>
      </c>
      <c r="D1121" s="39" t="s">
        <v>101</v>
      </c>
      <c r="E1121" s="48" t="s">
        <v>2304</v>
      </c>
      <c r="F1121" s="49" t="s">
        <v>188</v>
      </c>
      <c r="G1121" s="39" t="s">
        <v>2843</v>
      </c>
    </row>
    <row r="1122" customFormat="false" ht="18" hidden="false" customHeight="true" outlineLevel="0" collapsed="false">
      <c r="A1122" s="47" t="n">
        <v>1121</v>
      </c>
      <c r="B1122" s="39" t="s">
        <v>2301</v>
      </c>
      <c r="C1122" s="39" t="s">
        <v>2302</v>
      </c>
      <c r="D1122" s="39" t="s">
        <v>2845</v>
      </c>
      <c r="E1122" s="48" t="s">
        <v>2305</v>
      </c>
      <c r="F1122" s="49" t="s">
        <v>3298</v>
      </c>
      <c r="G1122" s="39" t="s">
        <v>2847</v>
      </c>
    </row>
    <row r="1123" customFormat="false" ht="18" hidden="false" customHeight="true" outlineLevel="0" collapsed="false">
      <c r="A1123" s="47" t="n">
        <v>1122</v>
      </c>
      <c r="B1123" s="39" t="s">
        <v>2301</v>
      </c>
      <c r="C1123" s="39" t="s">
        <v>2302</v>
      </c>
      <c r="D1123" s="39" t="s">
        <v>106</v>
      </c>
      <c r="E1123" s="48" t="s">
        <v>1900</v>
      </c>
      <c r="F1123" s="49" t="s">
        <v>1140</v>
      </c>
      <c r="G1123" s="39" t="s">
        <v>3150</v>
      </c>
    </row>
    <row r="1124" customFormat="false" ht="18" hidden="false" customHeight="true" outlineLevel="0" collapsed="false">
      <c r="A1124" s="47" t="n">
        <v>1123</v>
      </c>
      <c r="B1124" s="39" t="s">
        <v>2301</v>
      </c>
      <c r="C1124" s="39" t="s">
        <v>2302</v>
      </c>
      <c r="D1124" s="39" t="s">
        <v>2850</v>
      </c>
      <c r="E1124" s="48" t="s">
        <v>2307</v>
      </c>
      <c r="F1124" s="49" t="s">
        <v>3299</v>
      </c>
      <c r="G1124" s="39" t="s">
        <v>2852</v>
      </c>
    </row>
    <row r="1125" customFormat="false" ht="18" hidden="false" customHeight="true" outlineLevel="0" collapsed="false">
      <c r="A1125" s="47" t="n">
        <v>1124</v>
      </c>
      <c r="B1125" s="39" t="s">
        <v>2301</v>
      </c>
      <c r="C1125" s="39" t="s">
        <v>2302</v>
      </c>
      <c r="D1125" s="39" t="s">
        <v>109</v>
      </c>
      <c r="E1125" s="48" t="s">
        <v>1851</v>
      </c>
      <c r="F1125" s="49" t="s">
        <v>151</v>
      </c>
      <c r="G1125" s="39" t="s">
        <v>2853</v>
      </c>
    </row>
    <row r="1126" customFormat="false" ht="18" hidden="false" customHeight="true" outlineLevel="0" collapsed="false">
      <c r="A1126" s="47" t="n">
        <v>1125</v>
      </c>
      <c r="B1126" s="39" t="s">
        <v>218</v>
      </c>
      <c r="C1126" s="39" t="s">
        <v>2308</v>
      </c>
      <c r="D1126" s="39" t="s">
        <v>2840</v>
      </c>
      <c r="E1126" s="48" t="s">
        <v>2309</v>
      </c>
      <c r="F1126" s="49" t="s">
        <v>3300</v>
      </c>
      <c r="G1126" s="39" t="s">
        <v>2898</v>
      </c>
    </row>
    <row r="1127" customFormat="false" ht="18" hidden="false" customHeight="true" outlineLevel="0" collapsed="false">
      <c r="A1127" s="47" t="n">
        <v>1126</v>
      </c>
      <c r="B1127" s="39" t="s">
        <v>218</v>
      </c>
      <c r="C1127" s="39" t="s">
        <v>2308</v>
      </c>
      <c r="D1127" s="39" t="s">
        <v>101</v>
      </c>
      <c r="E1127" s="48" t="s">
        <v>2310</v>
      </c>
      <c r="F1127" s="49" t="s">
        <v>216</v>
      </c>
      <c r="G1127" s="39" t="s">
        <v>2843</v>
      </c>
    </row>
    <row r="1128" customFormat="false" ht="18" hidden="false" customHeight="true" outlineLevel="0" collapsed="false">
      <c r="A1128" s="47" t="n">
        <v>1127</v>
      </c>
      <c r="B1128" s="39" t="s">
        <v>218</v>
      </c>
      <c r="C1128" s="39" t="s">
        <v>2308</v>
      </c>
      <c r="D1128" s="39" t="s">
        <v>2845</v>
      </c>
      <c r="E1128" s="48" t="s">
        <v>2311</v>
      </c>
      <c r="F1128" s="49" t="s">
        <v>2312</v>
      </c>
      <c r="G1128" s="39" t="s">
        <v>2847</v>
      </c>
    </row>
    <row r="1129" customFormat="false" ht="18" hidden="false" customHeight="true" outlineLevel="0" collapsed="false">
      <c r="A1129" s="47" t="n">
        <v>1128</v>
      </c>
      <c r="B1129" s="39" t="s">
        <v>218</v>
      </c>
      <c r="C1129" s="39" t="s">
        <v>2308</v>
      </c>
      <c r="D1129" s="39" t="s">
        <v>106</v>
      </c>
      <c r="E1129" s="48" t="s">
        <v>1900</v>
      </c>
      <c r="F1129" s="49" t="s">
        <v>1140</v>
      </c>
      <c r="G1129" s="39" t="s">
        <v>3150</v>
      </c>
    </row>
    <row r="1130" customFormat="false" ht="18" hidden="false" customHeight="true" outlineLevel="0" collapsed="false">
      <c r="A1130" s="47" t="n">
        <v>1129</v>
      </c>
      <c r="B1130" s="39" t="s">
        <v>218</v>
      </c>
      <c r="C1130" s="39" t="s">
        <v>2308</v>
      </c>
      <c r="D1130" s="39" t="s">
        <v>2850</v>
      </c>
      <c r="E1130" s="48" t="s">
        <v>2313</v>
      </c>
      <c r="F1130" s="49" t="s">
        <v>3301</v>
      </c>
      <c r="G1130" s="39" t="s">
        <v>2852</v>
      </c>
    </row>
    <row r="1131" customFormat="false" ht="18" hidden="false" customHeight="true" outlineLevel="0" collapsed="false">
      <c r="A1131" s="47" t="n">
        <v>1130</v>
      </c>
      <c r="B1131" s="39" t="s">
        <v>218</v>
      </c>
      <c r="C1131" s="39" t="s">
        <v>2308</v>
      </c>
      <c r="D1131" s="39" t="s">
        <v>109</v>
      </c>
      <c r="E1131" s="48" t="s">
        <v>2034</v>
      </c>
      <c r="F1131" s="49" t="s">
        <v>130</v>
      </c>
      <c r="G1131" s="39" t="s">
        <v>2853</v>
      </c>
    </row>
    <row r="1132" customFormat="false" ht="18" hidden="false" customHeight="true" outlineLevel="0" collapsed="false">
      <c r="A1132" s="47" t="n">
        <v>1131</v>
      </c>
      <c r="B1132" s="39" t="s">
        <v>2314</v>
      </c>
      <c r="C1132" s="39" t="s">
        <v>2315</v>
      </c>
      <c r="D1132" s="39" t="s">
        <v>100</v>
      </c>
      <c r="E1132" s="48" t="s">
        <v>2316</v>
      </c>
      <c r="F1132" s="49" t="s">
        <v>283</v>
      </c>
      <c r="G1132" s="39" t="s">
        <v>2870</v>
      </c>
    </row>
    <row r="1133" customFormat="false" ht="18" hidden="false" customHeight="true" outlineLevel="0" collapsed="false">
      <c r="A1133" s="47" t="n">
        <v>1132</v>
      </c>
      <c r="B1133" s="39" t="s">
        <v>2314</v>
      </c>
      <c r="C1133" s="39" t="s">
        <v>2315</v>
      </c>
      <c r="D1133" s="39" t="s">
        <v>101</v>
      </c>
      <c r="E1133" s="48" t="s">
        <v>2317</v>
      </c>
      <c r="F1133" s="49" t="s">
        <v>284</v>
      </c>
      <c r="G1133" s="39" t="s">
        <v>2843</v>
      </c>
    </row>
    <row r="1134" customFormat="false" ht="18" hidden="false" customHeight="true" outlineLevel="0" collapsed="false">
      <c r="A1134" s="47" t="n">
        <v>1133</v>
      </c>
      <c r="B1134" s="39" t="s">
        <v>2314</v>
      </c>
      <c r="C1134" s="39" t="s">
        <v>2315</v>
      </c>
      <c r="D1134" s="39" t="s">
        <v>102</v>
      </c>
      <c r="E1134" s="48" t="s">
        <v>1537</v>
      </c>
      <c r="F1134" s="49" t="s">
        <v>150</v>
      </c>
      <c r="G1134" s="39" t="s">
        <v>2844</v>
      </c>
    </row>
    <row r="1135" customFormat="false" ht="18" hidden="false" customHeight="true" outlineLevel="0" collapsed="false">
      <c r="A1135" s="47" t="n">
        <v>1134</v>
      </c>
      <c r="B1135" s="39" t="s">
        <v>2314</v>
      </c>
      <c r="C1135" s="39" t="s">
        <v>2315</v>
      </c>
      <c r="D1135" s="39" t="s">
        <v>2845</v>
      </c>
      <c r="E1135" s="48" t="s">
        <v>2318</v>
      </c>
      <c r="F1135" s="49" t="s">
        <v>3302</v>
      </c>
      <c r="G1135" s="39" t="s">
        <v>2847</v>
      </c>
    </row>
    <row r="1136" customFormat="false" ht="18" hidden="false" customHeight="true" outlineLevel="0" collapsed="false">
      <c r="A1136" s="47" t="n">
        <v>1135</v>
      </c>
      <c r="B1136" s="39" t="s">
        <v>2314</v>
      </c>
      <c r="C1136" s="39" t="s">
        <v>2315</v>
      </c>
      <c r="D1136" s="39" t="s">
        <v>2848</v>
      </c>
      <c r="E1136" s="48" t="s">
        <v>2319</v>
      </c>
      <c r="F1136" s="49" t="s">
        <v>3303</v>
      </c>
      <c r="G1136" s="39" t="s">
        <v>2847</v>
      </c>
    </row>
    <row r="1137" customFormat="false" ht="18" hidden="false" customHeight="true" outlineLevel="0" collapsed="false">
      <c r="A1137" s="47" t="n">
        <v>1136</v>
      </c>
      <c r="B1137" s="39" t="s">
        <v>2314</v>
      </c>
      <c r="C1137" s="39" t="s">
        <v>2315</v>
      </c>
      <c r="D1137" s="39" t="s">
        <v>2850</v>
      </c>
      <c r="E1137" s="48" t="s">
        <v>2320</v>
      </c>
      <c r="F1137" s="49" t="s">
        <v>3304</v>
      </c>
      <c r="G1137" s="39" t="s">
        <v>2852</v>
      </c>
    </row>
    <row r="1138" customFormat="false" ht="18" hidden="false" customHeight="true" outlineLevel="0" collapsed="false">
      <c r="A1138" s="47" t="n">
        <v>1137</v>
      </c>
      <c r="B1138" s="39" t="s">
        <v>2321</v>
      </c>
      <c r="C1138" s="39" t="s">
        <v>2322</v>
      </c>
      <c r="D1138" s="39" t="s">
        <v>100</v>
      </c>
      <c r="E1138" s="48" t="s">
        <v>2324</v>
      </c>
      <c r="F1138" s="49" t="s">
        <v>620</v>
      </c>
      <c r="G1138" s="39" t="s">
        <v>2870</v>
      </c>
    </row>
    <row r="1139" customFormat="false" ht="18" hidden="false" customHeight="true" outlineLevel="0" collapsed="false">
      <c r="A1139" s="47" t="n">
        <v>1138</v>
      </c>
      <c r="B1139" s="39" t="s">
        <v>2321</v>
      </c>
      <c r="C1139" s="39" t="s">
        <v>2322</v>
      </c>
      <c r="D1139" s="39" t="s">
        <v>101</v>
      </c>
      <c r="E1139" s="48" t="s">
        <v>2325</v>
      </c>
      <c r="F1139" s="49" t="s">
        <v>621</v>
      </c>
      <c r="G1139" s="39" t="s">
        <v>2843</v>
      </c>
    </row>
    <row r="1140" customFormat="false" ht="18" hidden="false" customHeight="true" outlineLevel="0" collapsed="false">
      <c r="A1140" s="47" t="n">
        <v>1139</v>
      </c>
      <c r="B1140" s="39" t="s">
        <v>2321</v>
      </c>
      <c r="C1140" s="39" t="s">
        <v>2322</v>
      </c>
      <c r="D1140" s="39" t="s">
        <v>102</v>
      </c>
      <c r="E1140" s="48" t="s">
        <v>1337</v>
      </c>
      <c r="F1140" s="49" t="s">
        <v>128</v>
      </c>
      <c r="G1140" s="39" t="s">
        <v>2844</v>
      </c>
    </row>
    <row r="1141" customFormat="false" ht="18" hidden="false" customHeight="true" outlineLevel="0" collapsed="false">
      <c r="A1141" s="47" t="n">
        <v>1140</v>
      </c>
      <c r="B1141" s="39" t="s">
        <v>2321</v>
      </c>
      <c r="C1141" s="39" t="s">
        <v>2322</v>
      </c>
      <c r="D1141" s="39" t="s">
        <v>77</v>
      </c>
      <c r="E1141" s="48" t="s">
        <v>3147</v>
      </c>
      <c r="F1141" s="49" t="s">
        <v>79</v>
      </c>
      <c r="G1141" s="39" t="s">
        <v>3148</v>
      </c>
    </row>
    <row r="1142" customFormat="false" ht="18" hidden="false" customHeight="true" outlineLevel="0" collapsed="false">
      <c r="A1142" s="47" t="n">
        <v>1141</v>
      </c>
      <c r="B1142" s="39" t="s">
        <v>2321</v>
      </c>
      <c r="C1142" s="39" t="s">
        <v>2322</v>
      </c>
      <c r="D1142" s="39" t="s">
        <v>2845</v>
      </c>
      <c r="E1142" s="48" t="s">
        <v>2326</v>
      </c>
      <c r="F1142" s="49" t="s">
        <v>3305</v>
      </c>
      <c r="G1142" s="39" t="s">
        <v>2847</v>
      </c>
    </row>
    <row r="1143" customFormat="false" ht="18" hidden="false" customHeight="true" outlineLevel="0" collapsed="false">
      <c r="A1143" s="47" t="n">
        <v>1142</v>
      </c>
      <c r="B1143" s="39" t="s">
        <v>2321</v>
      </c>
      <c r="C1143" s="39" t="s">
        <v>2322</v>
      </c>
      <c r="D1143" s="39" t="s">
        <v>2848</v>
      </c>
      <c r="E1143" s="48" t="s">
        <v>2327</v>
      </c>
      <c r="F1143" s="49" t="s">
        <v>3306</v>
      </c>
      <c r="G1143" s="39" t="s">
        <v>2847</v>
      </c>
    </row>
    <row r="1144" customFormat="false" ht="18" hidden="false" customHeight="true" outlineLevel="0" collapsed="false">
      <c r="A1144" s="47" t="n">
        <v>1143</v>
      </c>
      <c r="B1144" s="39" t="s">
        <v>2321</v>
      </c>
      <c r="C1144" s="39" t="s">
        <v>2322</v>
      </c>
      <c r="D1144" s="39" t="s">
        <v>2850</v>
      </c>
      <c r="E1144" s="48" t="s">
        <v>2328</v>
      </c>
      <c r="F1144" s="49" t="s">
        <v>3307</v>
      </c>
      <c r="G1144" s="39" t="s">
        <v>2852</v>
      </c>
    </row>
    <row r="1145" customFormat="false" ht="18" hidden="false" customHeight="true" outlineLevel="0" collapsed="false">
      <c r="A1145" s="47" t="n">
        <v>1144</v>
      </c>
      <c r="B1145" s="39" t="s">
        <v>2329</v>
      </c>
      <c r="C1145" s="39" t="s">
        <v>2330</v>
      </c>
      <c r="D1145" s="39" t="s">
        <v>2840</v>
      </c>
      <c r="E1145" s="48" t="s">
        <v>2331</v>
      </c>
      <c r="F1145" s="49" t="s">
        <v>3308</v>
      </c>
      <c r="G1145" s="39" t="s">
        <v>2898</v>
      </c>
    </row>
    <row r="1146" customFormat="false" ht="18" hidden="false" customHeight="true" outlineLevel="0" collapsed="false">
      <c r="A1146" s="47" t="n">
        <v>1145</v>
      </c>
      <c r="B1146" s="39" t="s">
        <v>2329</v>
      </c>
      <c r="C1146" s="39" t="s">
        <v>2330</v>
      </c>
      <c r="D1146" s="39" t="s">
        <v>101</v>
      </c>
      <c r="E1146" s="48" t="s">
        <v>2332</v>
      </c>
      <c r="F1146" s="49" t="s">
        <v>1036</v>
      </c>
      <c r="G1146" s="39" t="s">
        <v>2843</v>
      </c>
    </row>
    <row r="1147" customFormat="false" ht="18" hidden="false" customHeight="true" outlineLevel="0" collapsed="false">
      <c r="A1147" s="47" t="n">
        <v>1146</v>
      </c>
      <c r="B1147" s="39" t="s">
        <v>2329</v>
      </c>
      <c r="C1147" s="39" t="s">
        <v>2330</v>
      </c>
      <c r="D1147" s="39" t="s">
        <v>77</v>
      </c>
      <c r="E1147" s="48" t="s">
        <v>1173</v>
      </c>
      <c r="F1147" s="49" t="s">
        <v>79</v>
      </c>
      <c r="G1147" s="39" t="s">
        <v>2863</v>
      </c>
    </row>
    <row r="1148" customFormat="false" ht="18" hidden="false" customHeight="true" outlineLevel="0" collapsed="false">
      <c r="A1148" s="47" t="n">
        <v>1147</v>
      </c>
      <c r="B1148" s="39" t="s">
        <v>2329</v>
      </c>
      <c r="C1148" s="39" t="s">
        <v>2330</v>
      </c>
      <c r="D1148" s="39" t="s">
        <v>2845</v>
      </c>
      <c r="E1148" s="48" t="s">
        <v>2299</v>
      </c>
      <c r="F1148" s="49" t="s">
        <v>2285</v>
      </c>
      <c r="G1148" s="39" t="s">
        <v>2847</v>
      </c>
    </row>
    <row r="1149" customFormat="false" ht="18" hidden="false" customHeight="true" outlineLevel="0" collapsed="false">
      <c r="A1149" s="47" t="n">
        <v>1148</v>
      </c>
      <c r="B1149" s="39" t="s">
        <v>2329</v>
      </c>
      <c r="C1149" s="39" t="s">
        <v>2330</v>
      </c>
      <c r="D1149" s="39" t="s">
        <v>2848</v>
      </c>
      <c r="E1149" s="48" t="s">
        <v>2333</v>
      </c>
      <c r="F1149" s="49" t="s">
        <v>1865</v>
      </c>
      <c r="G1149" s="39" t="s">
        <v>2847</v>
      </c>
    </row>
    <row r="1150" customFormat="false" ht="18" hidden="false" customHeight="true" outlineLevel="0" collapsed="false">
      <c r="A1150" s="47" t="n">
        <v>1149</v>
      </c>
      <c r="B1150" s="39" t="s">
        <v>2329</v>
      </c>
      <c r="C1150" s="39" t="s">
        <v>2330</v>
      </c>
      <c r="D1150" s="39" t="s">
        <v>2850</v>
      </c>
      <c r="E1150" s="48" t="s">
        <v>2334</v>
      </c>
      <c r="F1150" s="49" t="s">
        <v>2780</v>
      </c>
      <c r="G1150" s="39" t="s">
        <v>2852</v>
      </c>
    </row>
    <row r="1151" customFormat="false" ht="18" hidden="false" customHeight="true" outlineLevel="0" collapsed="false">
      <c r="A1151" s="47" t="n">
        <v>1150</v>
      </c>
      <c r="B1151" s="39" t="s">
        <v>595</v>
      </c>
      <c r="C1151" s="39" t="s">
        <v>2335</v>
      </c>
      <c r="D1151" s="39" t="s">
        <v>2840</v>
      </c>
      <c r="E1151" s="48" t="s">
        <v>2336</v>
      </c>
      <c r="F1151" s="49" t="s">
        <v>3309</v>
      </c>
      <c r="G1151" s="39" t="s">
        <v>2898</v>
      </c>
    </row>
    <row r="1152" customFormat="false" ht="18" hidden="false" customHeight="true" outlineLevel="0" collapsed="false">
      <c r="A1152" s="47" t="n">
        <v>1151</v>
      </c>
      <c r="B1152" s="39" t="s">
        <v>595</v>
      </c>
      <c r="C1152" s="39" t="s">
        <v>2335</v>
      </c>
      <c r="D1152" s="39" t="s">
        <v>101</v>
      </c>
      <c r="E1152" s="48" t="s">
        <v>2337</v>
      </c>
      <c r="F1152" s="49" t="s">
        <v>594</v>
      </c>
      <c r="G1152" s="39" t="s">
        <v>2843</v>
      </c>
    </row>
    <row r="1153" customFormat="false" ht="18" hidden="false" customHeight="true" outlineLevel="0" collapsed="false">
      <c r="A1153" s="47" t="n">
        <v>1152</v>
      </c>
      <c r="B1153" s="39" t="s">
        <v>595</v>
      </c>
      <c r="C1153" s="39" t="s">
        <v>2335</v>
      </c>
      <c r="D1153" s="39" t="s">
        <v>102</v>
      </c>
      <c r="E1153" s="48" t="s">
        <v>1179</v>
      </c>
      <c r="F1153" s="49" t="s">
        <v>150</v>
      </c>
      <c r="G1153" s="39" t="s">
        <v>2844</v>
      </c>
    </row>
    <row r="1154" customFormat="false" ht="18" hidden="false" customHeight="true" outlineLevel="0" collapsed="false">
      <c r="A1154" s="47" t="n">
        <v>1153</v>
      </c>
      <c r="B1154" s="39" t="s">
        <v>595</v>
      </c>
      <c r="C1154" s="39" t="s">
        <v>2335</v>
      </c>
      <c r="D1154" s="39" t="s">
        <v>77</v>
      </c>
      <c r="E1154" s="48" t="s">
        <v>3147</v>
      </c>
      <c r="F1154" s="49" t="s">
        <v>80</v>
      </c>
      <c r="G1154" s="39" t="s">
        <v>3148</v>
      </c>
    </row>
    <row r="1155" customFormat="false" ht="18" hidden="false" customHeight="true" outlineLevel="0" collapsed="false">
      <c r="A1155" s="47" t="n">
        <v>1154</v>
      </c>
      <c r="B1155" s="39" t="s">
        <v>595</v>
      </c>
      <c r="C1155" s="39" t="s">
        <v>2335</v>
      </c>
      <c r="D1155" s="39" t="s">
        <v>2848</v>
      </c>
      <c r="E1155" s="48" t="s">
        <v>2339</v>
      </c>
      <c r="F1155" s="49" t="s">
        <v>3310</v>
      </c>
      <c r="G1155" s="39" t="s">
        <v>2847</v>
      </c>
    </row>
    <row r="1156" customFormat="false" ht="18" hidden="false" customHeight="true" outlineLevel="0" collapsed="false">
      <c r="A1156" s="47" t="n">
        <v>1155</v>
      </c>
      <c r="B1156" s="39" t="s">
        <v>595</v>
      </c>
      <c r="C1156" s="39" t="s">
        <v>2335</v>
      </c>
      <c r="D1156" s="39" t="s">
        <v>2850</v>
      </c>
      <c r="E1156" s="48" t="s">
        <v>2340</v>
      </c>
      <c r="F1156" s="49" t="s">
        <v>3139</v>
      </c>
      <c r="G1156" s="39" t="s">
        <v>2852</v>
      </c>
    </row>
    <row r="1157" customFormat="false" ht="18" hidden="false" customHeight="true" outlineLevel="0" collapsed="false">
      <c r="A1157" s="47" t="n">
        <v>1156</v>
      </c>
      <c r="B1157" s="39" t="s">
        <v>595</v>
      </c>
      <c r="C1157" s="39" t="s">
        <v>2335</v>
      </c>
      <c r="D1157" s="39" t="s">
        <v>109</v>
      </c>
      <c r="E1157" s="48" t="s">
        <v>1836</v>
      </c>
      <c r="F1157" s="49" t="s">
        <v>151</v>
      </c>
      <c r="G1157" s="39" t="s">
        <v>2853</v>
      </c>
    </row>
    <row r="1158" customFormat="false" ht="18" hidden="false" customHeight="true" outlineLevel="0" collapsed="false">
      <c r="A1158" s="47" t="n">
        <v>1157</v>
      </c>
      <c r="B1158" s="39" t="s">
        <v>720</v>
      </c>
      <c r="C1158" s="39" t="s">
        <v>2341</v>
      </c>
      <c r="D1158" s="39" t="s">
        <v>101</v>
      </c>
      <c r="E1158" s="48" t="s">
        <v>2343</v>
      </c>
      <c r="F1158" s="49" t="s">
        <v>719</v>
      </c>
      <c r="G1158" s="39" t="s">
        <v>2843</v>
      </c>
    </row>
    <row r="1159" customFormat="false" ht="18" hidden="false" customHeight="true" outlineLevel="0" collapsed="false">
      <c r="A1159" s="47" t="n">
        <v>1158</v>
      </c>
      <c r="B1159" s="39" t="s">
        <v>720</v>
      </c>
      <c r="C1159" s="39" t="s">
        <v>2341</v>
      </c>
      <c r="D1159" s="39" t="s">
        <v>102</v>
      </c>
      <c r="E1159" s="48" t="s">
        <v>1179</v>
      </c>
      <c r="F1159" s="49" t="s">
        <v>150</v>
      </c>
      <c r="G1159" s="39" t="s">
        <v>2844</v>
      </c>
    </row>
    <row r="1160" customFormat="false" ht="18" hidden="false" customHeight="true" outlineLevel="0" collapsed="false">
      <c r="A1160" s="47" t="n">
        <v>1159</v>
      </c>
      <c r="B1160" s="39" t="s">
        <v>720</v>
      </c>
      <c r="C1160" s="39" t="s">
        <v>2341</v>
      </c>
      <c r="D1160" s="39" t="s">
        <v>2848</v>
      </c>
      <c r="E1160" s="48" t="s">
        <v>2345</v>
      </c>
      <c r="F1160" s="49" t="s">
        <v>2912</v>
      </c>
      <c r="G1160" s="39" t="s">
        <v>2847</v>
      </c>
    </row>
    <row r="1161" customFormat="false" ht="18" hidden="false" customHeight="true" outlineLevel="0" collapsed="false">
      <c r="A1161" s="47" t="n">
        <v>1160</v>
      </c>
      <c r="B1161" s="39" t="s">
        <v>720</v>
      </c>
      <c r="C1161" s="39" t="s">
        <v>2341</v>
      </c>
      <c r="D1161" s="39" t="s">
        <v>2850</v>
      </c>
      <c r="E1161" s="48" t="s">
        <v>2346</v>
      </c>
      <c r="F1161" s="49" t="s">
        <v>3311</v>
      </c>
      <c r="G1161" s="39" t="s">
        <v>2852</v>
      </c>
    </row>
    <row r="1162" customFormat="false" ht="18" hidden="false" customHeight="true" outlineLevel="0" collapsed="false">
      <c r="A1162" s="47" t="n">
        <v>1161</v>
      </c>
      <c r="B1162" s="39" t="s">
        <v>2347</v>
      </c>
      <c r="C1162" s="39" t="s">
        <v>2348</v>
      </c>
      <c r="D1162" s="39" t="s">
        <v>100</v>
      </c>
      <c r="E1162" s="48" t="s">
        <v>2350</v>
      </c>
      <c r="F1162" s="49" t="s">
        <v>792</v>
      </c>
      <c r="G1162" s="39" t="s">
        <v>2870</v>
      </c>
    </row>
    <row r="1163" customFormat="false" ht="18" hidden="false" customHeight="true" outlineLevel="0" collapsed="false">
      <c r="A1163" s="47" t="n">
        <v>1162</v>
      </c>
      <c r="B1163" s="39" t="s">
        <v>2347</v>
      </c>
      <c r="C1163" s="39" t="s">
        <v>2348</v>
      </c>
      <c r="D1163" s="39" t="s">
        <v>101</v>
      </c>
      <c r="E1163" s="48" t="s">
        <v>2351</v>
      </c>
      <c r="F1163" s="49" t="s">
        <v>793</v>
      </c>
      <c r="G1163" s="39" t="s">
        <v>2843</v>
      </c>
    </row>
    <row r="1164" customFormat="false" ht="18" hidden="false" customHeight="true" outlineLevel="0" collapsed="false">
      <c r="A1164" s="47" t="n">
        <v>1163</v>
      </c>
      <c r="B1164" s="39" t="s">
        <v>2347</v>
      </c>
      <c r="C1164" s="39" t="s">
        <v>2348</v>
      </c>
      <c r="D1164" s="39" t="s">
        <v>102</v>
      </c>
      <c r="E1164" s="48" t="s">
        <v>1179</v>
      </c>
      <c r="F1164" s="49" t="s">
        <v>150</v>
      </c>
      <c r="G1164" s="39" t="s">
        <v>2844</v>
      </c>
    </row>
    <row r="1165" customFormat="false" ht="18" hidden="false" customHeight="true" outlineLevel="0" collapsed="false">
      <c r="A1165" s="47" t="n">
        <v>1164</v>
      </c>
      <c r="B1165" s="39" t="s">
        <v>2347</v>
      </c>
      <c r="C1165" s="39" t="s">
        <v>2348</v>
      </c>
      <c r="D1165" s="39" t="s">
        <v>2845</v>
      </c>
      <c r="E1165" s="48" t="s">
        <v>2352</v>
      </c>
      <c r="F1165" s="49" t="s">
        <v>3312</v>
      </c>
      <c r="G1165" s="39" t="s">
        <v>2847</v>
      </c>
    </row>
    <row r="1166" customFormat="false" ht="18" hidden="false" customHeight="true" outlineLevel="0" collapsed="false">
      <c r="A1166" s="47" t="n">
        <v>1165</v>
      </c>
      <c r="B1166" s="39" t="s">
        <v>2347</v>
      </c>
      <c r="C1166" s="39" t="s">
        <v>2348</v>
      </c>
      <c r="D1166" s="39" t="s">
        <v>2848</v>
      </c>
      <c r="E1166" s="48" t="s">
        <v>2353</v>
      </c>
      <c r="F1166" s="49" t="s">
        <v>3313</v>
      </c>
      <c r="G1166" s="39" t="s">
        <v>2847</v>
      </c>
    </row>
    <row r="1167" customFormat="false" ht="18" hidden="false" customHeight="true" outlineLevel="0" collapsed="false">
      <c r="A1167" s="47" t="n">
        <v>1166</v>
      </c>
      <c r="B1167" s="39" t="s">
        <v>2347</v>
      </c>
      <c r="C1167" s="39" t="s">
        <v>2348</v>
      </c>
      <c r="D1167" s="39" t="s">
        <v>2850</v>
      </c>
      <c r="E1167" s="48" t="s">
        <v>2354</v>
      </c>
      <c r="F1167" s="49" t="s">
        <v>2413</v>
      </c>
      <c r="G1167" s="39" t="s">
        <v>2852</v>
      </c>
    </row>
    <row r="1168" customFormat="false" ht="18" hidden="false" customHeight="true" outlineLevel="0" collapsed="false">
      <c r="A1168" s="47" t="n">
        <v>1167</v>
      </c>
      <c r="B1168" s="39" t="s">
        <v>2355</v>
      </c>
      <c r="C1168" s="39" t="s">
        <v>2356</v>
      </c>
      <c r="D1168" s="39" t="s">
        <v>101</v>
      </c>
      <c r="E1168" s="48" t="s">
        <v>2358</v>
      </c>
      <c r="F1168" s="49" t="s">
        <v>917</v>
      </c>
      <c r="G1168" s="39" t="s">
        <v>2843</v>
      </c>
    </row>
    <row r="1169" customFormat="false" ht="18" hidden="false" customHeight="true" outlineLevel="0" collapsed="false">
      <c r="A1169" s="47" t="n">
        <v>1168</v>
      </c>
      <c r="B1169" s="39" t="s">
        <v>2355</v>
      </c>
      <c r="C1169" s="39" t="s">
        <v>2356</v>
      </c>
      <c r="D1169" s="39" t="s">
        <v>77</v>
      </c>
      <c r="E1169" s="48" t="s">
        <v>2243</v>
      </c>
      <c r="F1169" s="49" t="s">
        <v>82</v>
      </c>
      <c r="G1169" s="39" t="s">
        <v>2863</v>
      </c>
    </row>
    <row r="1170" customFormat="false" ht="18" hidden="false" customHeight="true" outlineLevel="0" collapsed="false">
      <c r="A1170" s="47" t="n">
        <v>1169</v>
      </c>
      <c r="B1170" s="39" t="s">
        <v>2355</v>
      </c>
      <c r="C1170" s="39" t="s">
        <v>2356</v>
      </c>
      <c r="D1170" s="39" t="s">
        <v>2845</v>
      </c>
      <c r="E1170" s="48" t="s">
        <v>2359</v>
      </c>
      <c r="F1170" s="49" t="s">
        <v>3034</v>
      </c>
      <c r="G1170" s="39" t="s">
        <v>2847</v>
      </c>
    </row>
    <row r="1171" customFormat="false" ht="18" hidden="false" customHeight="true" outlineLevel="0" collapsed="false">
      <c r="A1171" s="47" t="n">
        <v>1170</v>
      </c>
      <c r="B1171" s="39" t="s">
        <v>2355</v>
      </c>
      <c r="C1171" s="39" t="s">
        <v>2356</v>
      </c>
      <c r="D1171" s="39" t="s">
        <v>2848</v>
      </c>
      <c r="E1171" s="48" t="s">
        <v>2360</v>
      </c>
      <c r="F1171" s="49" t="s">
        <v>3226</v>
      </c>
      <c r="G1171" s="39" t="s">
        <v>2847</v>
      </c>
    </row>
    <row r="1172" customFormat="false" ht="18" hidden="false" customHeight="true" outlineLevel="0" collapsed="false">
      <c r="A1172" s="47" t="n">
        <v>1171</v>
      </c>
      <c r="B1172" s="39" t="s">
        <v>2355</v>
      </c>
      <c r="C1172" s="39" t="s">
        <v>2356</v>
      </c>
      <c r="D1172" s="39" t="s">
        <v>106</v>
      </c>
      <c r="E1172" s="48" t="s">
        <v>1900</v>
      </c>
      <c r="F1172" s="49" t="s">
        <v>1140</v>
      </c>
      <c r="G1172" s="39" t="s">
        <v>3150</v>
      </c>
    </row>
    <row r="1173" customFormat="false" ht="18" hidden="false" customHeight="true" outlineLevel="0" collapsed="false">
      <c r="A1173" s="47" t="n">
        <v>1172</v>
      </c>
      <c r="B1173" s="39" t="s">
        <v>2355</v>
      </c>
      <c r="C1173" s="39" t="s">
        <v>2356</v>
      </c>
      <c r="D1173" s="39" t="s">
        <v>2850</v>
      </c>
      <c r="E1173" s="48" t="s">
        <v>2361</v>
      </c>
      <c r="F1173" s="49" t="s">
        <v>3212</v>
      </c>
      <c r="G1173" s="39" t="s">
        <v>2852</v>
      </c>
    </row>
    <row r="1174" customFormat="false" ht="18" hidden="false" customHeight="true" outlineLevel="0" collapsed="false">
      <c r="A1174" s="47" t="n">
        <v>1173</v>
      </c>
      <c r="B1174" s="39" t="s">
        <v>2355</v>
      </c>
      <c r="C1174" s="39" t="s">
        <v>2356</v>
      </c>
      <c r="D1174" s="39" t="s">
        <v>109</v>
      </c>
      <c r="E1174" s="48" t="s">
        <v>2034</v>
      </c>
      <c r="F1174" s="49" t="s">
        <v>130</v>
      </c>
      <c r="G1174" s="39" t="s">
        <v>2853</v>
      </c>
    </row>
    <row r="1175" customFormat="false" ht="18" hidden="false" customHeight="true" outlineLevel="0" collapsed="false">
      <c r="A1175" s="47" t="n">
        <v>1174</v>
      </c>
      <c r="B1175" s="39" t="s">
        <v>2362</v>
      </c>
      <c r="C1175" s="39" t="s">
        <v>2363</v>
      </c>
      <c r="D1175" s="39" t="s">
        <v>2840</v>
      </c>
      <c r="E1175" s="48" t="s">
        <v>2364</v>
      </c>
      <c r="F1175" s="49" t="s">
        <v>3182</v>
      </c>
      <c r="G1175" s="39" t="s">
        <v>2898</v>
      </c>
    </row>
    <row r="1176" customFormat="false" ht="18" hidden="false" customHeight="true" outlineLevel="0" collapsed="false">
      <c r="A1176" s="47" t="n">
        <v>1175</v>
      </c>
      <c r="B1176" s="39" t="s">
        <v>2362</v>
      </c>
      <c r="C1176" s="39" t="s">
        <v>2363</v>
      </c>
      <c r="D1176" s="39" t="s">
        <v>100</v>
      </c>
      <c r="E1176" s="48" t="s">
        <v>2365</v>
      </c>
      <c r="F1176" s="49" t="s">
        <v>322</v>
      </c>
      <c r="G1176" s="39" t="s">
        <v>2878</v>
      </c>
    </row>
    <row r="1177" customFormat="false" ht="18" hidden="false" customHeight="true" outlineLevel="0" collapsed="false">
      <c r="A1177" s="47" t="n">
        <v>1176</v>
      </c>
      <c r="B1177" s="39" t="s">
        <v>2362</v>
      </c>
      <c r="C1177" s="39" t="s">
        <v>2363</v>
      </c>
      <c r="D1177" s="39" t="s">
        <v>101</v>
      </c>
      <c r="E1177" s="48" t="s">
        <v>2366</v>
      </c>
      <c r="F1177" s="49" t="s">
        <v>323</v>
      </c>
      <c r="G1177" s="39" t="s">
        <v>2843</v>
      </c>
    </row>
    <row r="1178" customFormat="false" ht="18" hidden="false" customHeight="true" outlineLevel="0" collapsed="false">
      <c r="A1178" s="47" t="n">
        <v>1177</v>
      </c>
      <c r="B1178" s="39" t="s">
        <v>2362</v>
      </c>
      <c r="C1178" s="39" t="s">
        <v>2363</v>
      </c>
      <c r="D1178" s="39" t="s">
        <v>102</v>
      </c>
      <c r="E1178" s="48" t="s">
        <v>2157</v>
      </c>
      <c r="F1178" s="49" t="s">
        <v>324</v>
      </c>
      <c r="G1178" s="39" t="s">
        <v>2844</v>
      </c>
    </row>
    <row r="1179" customFormat="false" ht="18" hidden="false" customHeight="true" outlineLevel="0" collapsed="false">
      <c r="A1179" s="47" t="n">
        <v>1178</v>
      </c>
      <c r="B1179" s="39" t="s">
        <v>2362</v>
      </c>
      <c r="C1179" s="39" t="s">
        <v>2363</v>
      </c>
      <c r="D1179" s="39" t="s">
        <v>2845</v>
      </c>
      <c r="E1179" s="48" t="s">
        <v>2367</v>
      </c>
      <c r="F1179" s="49" t="s">
        <v>3314</v>
      </c>
      <c r="G1179" s="39" t="s">
        <v>3315</v>
      </c>
    </row>
    <row r="1180" customFormat="false" ht="18" hidden="false" customHeight="true" outlineLevel="0" collapsed="false">
      <c r="A1180" s="47" t="n">
        <v>1179</v>
      </c>
      <c r="B1180" s="39" t="s">
        <v>2362</v>
      </c>
      <c r="C1180" s="39" t="s">
        <v>2363</v>
      </c>
      <c r="D1180" s="39" t="s">
        <v>2848</v>
      </c>
      <c r="E1180" s="48" t="s">
        <v>2368</v>
      </c>
      <c r="F1180" s="49" t="s">
        <v>2889</v>
      </c>
      <c r="G1180" s="39" t="s">
        <v>3315</v>
      </c>
    </row>
    <row r="1181" customFormat="false" ht="18" hidden="false" customHeight="true" outlineLevel="0" collapsed="false">
      <c r="A1181" s="47" t="n">
        <v>1180</v>
      </c>
      <c r="B1181" s="39" t="s">
        <v>2362</v>
      </c>
      <c r="C1181" s="39" t="s">
        <v>2363</v>
      </c>
      <c r="D1181" s="39" t="s">
        <v>2850</v>
      </c>
      <c r="E1181" s="48" t="s">
        <v>2369</v>
      </c>
      <c r="F1181" s="49" t="s">
        <v>3316</v>
      </c>
      <c r="G1181" s="39" t="s">
        <v>2852</v>
      </c>
    </row>
    <row r="1182" customFormat="false" ht="18" hidden="false" customHeight="true" outlineLevel="0" collapsed="false">
      <c r="A1182" s="47" t="n">
        <v>1181</v>
      </c>
      <c r="B1182" s="39" t="s">
        <v>2362</v>
      </c>
      <c r="C1182" s="39" t="s">
        <v>2363</v>
      </c>
      <c r="D1182" s="39" t="s">
        <v>109</v>
      </c>
      <c r="E1182" s="48" t="s">
        <v>1140</v>
      </c>
      <c r="F1182" s="49" t="s">
        <v>151</v>
      </c>
      <c r="G1182" s="39" t="s">
        <v>2853</v>
      </c>
    </row>
    <row r="1183" customFormat="false" ht="18" hidden="false" customHeight="true" outlineLevel="0" collapsed="false">
      <c r="A1183" s="47" t="n">
        <v>1182</v>
      </c>
      <c r="B1183" s="39" t="s">
        <v>859</v>
      </c>
      <c r="C1183" s="39" t="s">
        <v>2370</v>
      </c>
      <c r="D1183" s="39" t="s">
        <v>100</v>
      </c>
      <c r="E1183" s="48" t="s">
        <v>2372</v>
      </c>
      <c r="F1183" s="49" t="s">
        <v>857</v>
      </c>
      <c r="G1183" s="39" t="s">
        <v>2878</v>
      </c>
    </row>
    <row r="1184" customFormat="false" ht="18" hidden="false" customHeight="true" outlineLevel="0" collapsed="false">
      <c r="A1184" s="47" t="n">
        <v>1183</v>
      </c>
      <c r="B1184" s="39" t="s">
        <v>859</v>
      </c>
      <c r="C1184" s="39" t="s">
        <v>2370</v>
      </c>
      <c r="D1184" s="39" t="s">
        <v>101</v>
      </c>
      <c r="E1184" s="48" t="s">
        <v>2373</v>
      </c>
      <c r="F1184" s="49" t="s">
        <v>858</v>
      </c>
      <c r="G1184" s="39" t="s">
        <v>2843</v>
      </c>
    </row>
    <row r="1185" customFormat="false" ht="18" hidden="false" customHeight="true" outlineLevel="0" collapsed="false">
      <c r="A1185" s="47" t="n">
        <v>1184</v>
      </c>
      <c r="B1185" s="39" t="s">
        <v>859</v>
      </c>
      <c r="C1185" s="39" t="s">
        <v>2370</v>
      </c>
      <c r="D1185" s="39" t="s">
        <v>2845</v>
      </c>
      <c r="E1185" s="48" t="s">
        <v>2374</v>
      </c>
      <c r="F1185" s="49" t="s">
        <v>3317</v>
      </c>
      <c r="G1185" s="39" t="s">
        <v>3315</v>
      </c>
    </row>
    <row r="1186" customFormat="false" ht="18" hidden="false" customHeight="true" outlineLevel="0" collapsed="false">
      <c r="A1186" s="47" t="n">
        <v>1185</v>
      </c>
      <c r="B1186" s="39" t="s">
        <v>859</v>
      </c>
      <c r="C1186" s="39" t="s">
        <v>2370</v>
      </c>
      <c r="D1186" s="39" t="s">
        <v>2848</v>
      </c>
      <c r="E1186" s="48" t="s">
        <v>2375</v>
      </c>
      <c r="F1186" s="49" t="s">
        <v>2985</v>
      </c>
      <c r="G1186" s="39" t="s">
        <v>3315</v>
      </c>
    </row>
    <row r="1187" customFormat="false" ht="18" hidden="false" customHeight="true" outlineLevel="0" collapsed="false">
      <c r="A1187" s="47" t="n">
        <v>1186</v>
      </c>
      <c r="B1187" s="39" t="s">
        <v>859</v>
      </c>
      <c r="C1187" s="39" t="s">
        <v>2370</v>
      </c>
      <c r="D1187" s="39" t="s">
        <v>109</v>
      </c>
      <c r="E1187" s="48" t="s">
        <v>1851</v>
      </c>
      <c r="F1187" s="49" t="s">
        <v>151</v>
      </c>
      <c r="G1187" s="39" t="s">
        <v>2853</v>
      </c>
    </row>
    <row r="1188" customFormat="false" ht="18" hidden="false" customHeight="true" outlineLevel="0" collapsed="false">
      <c r="A1188" s="47" t="n">
        <v>1187</v>
      </c>
      <c r="B1188" s="39" t="s">
        <v>2377</v>
      </c>
      <c r="C1188" s="39" t="s">
        <v>2378</v>
      </c>
      <c r="D1188" s="39" t="s">
        <v>101</v>
      </c>
      <c r="E1188" s="48" t="s">
        <v>2379</v>
      </c>
      <c r="F1188" s="49" t="s">
        <v>810</v>
      </c>
      <c r="G1188" s="39" t="s">
        <v>2843</v>
      </c>
    </row>
    <row r="1189" customFormat="false" ht="18" hidden="false" customHeight="true" outlineLevel="0" collapsed="false">
      <c r="A1189" s="47" t="n">
        <v>1188</v>
      </c>
      <c r="B1189" s="39" t="s">
        <v>2377</v>
      </c>
      <c r="C1189" s="39" t="s">
        <v>2378</v>
      </c>
      <c r="D1189" s="39" t="s">
        <v>102</v>
      </c>
      <c r="E1189" s="48" t="s">
        <v>1365</v>
      </c>
      <c r="F1189" s="49" t="s">
        <v>170</v>
      </c>
      <c r="G1189" s="39" t="s">
        <v>2844</v>
      </c>
    </row>
    <row r="1190" customFormat="false" ht="18" hidden="false" customHeight="true" outlineLevel="0" collapsed="false">
      <c r="A1190" s="47" t="n">
        <v>1189</v>
      </c>
      <c r="B1190" s="39" t="s">
        <v>2377</v>
      </c>
      <c r="C1190" s="39" t="s">
        <v>2378</v>
      </c>
      <c r="D1190" s="39" t="s">
        <v>2845</v>
      </c>
      <c r="E1190" s="48" t="s">
        <v>2380</v>
      </c>
      <c r="F1190" s="49" t="s">
        <v>3318</v>
      </c>
      <c r="G1190" s="39" t="s">
        <v>3315</v>
      </c>
    </row>
    <row r="1191" customFormat="false" ht="18" hidden="false" customHeight="true" outlineLevel="0" collapsed="false">
      <c r="A1191" s="47" t="n">
        <v>1190</v>
      </c>
      <c r="B1191" s="39" t="s">
        <v>2377</v>
      </c>
      <c r="C1191" s="39" t="s">
        <v>2378</v>
      </c>
      <c r="D1191" s="39" t="s">
        <v>2848</v>
      </c>
      <c r="E1191" s="48" t="s">
        <v>2381</v>
      </c>
      <c r="F1191" s="49" t="s">
        <v>3319</v>
      </c>
      <c r="G1191" s="39" t="s">
        <v>3315</v>
      </c>
    </row>
    <row r="1192" customFormat="false" ht="18" hidden="false" customHeight="true" outlineLevel="0" collapsed="false">
      <c r="A1192" s="47" t="n">
        <v>1191</v>
      </c>
      <c r="B1192" s="39" t="s">
        <v>2377</v>
      </c>
      <c r="C1192" s="39" t="s">
        <v>2378</v>
      </c>
      <c r="D1192" s="39" t="s">
        <v>2850</v>
      </c>
      <c r="E1192" s="48" t="s">
        <v>2382</v>
      </c>
      <c r="F1192" s="49" t="s">
        <v>3320</v>
      </c>
      <c r="G1192" s="39" t="s">
        <v>2852</v>
      </c>
    </row>
    <row r="1193" customFormat="false" ht="18" hidden="false" customHeight="true" outlineLevel="0" collapsed="false">
      <c r="A1193" s="47" t="n">
        <v>1192</v>
      </c>
      <c r="B1193" s="39" t="s">
        <v>2377</v>
      </c>
      <c r="C1193" s="39" t="s">
        <v>2378</v>
      </c>
      <c r="D1193" s="39" t="s">
        <v>109</v>
      </c>
      <c r="E1193" s="48" t="s">
        <v>1851</v>
      </c>
      <c r="F1193" s="49" t="s">
        <v>151</v>
      </c>
      <c r="G1193" s="39" t="s">
        <v>2853</v>
      </c>
    </row>
    <row r="1194" customFormat="false" ht="18" hidden="false" customHeight="true" outlineLevel="0" collapsed="false">
      <c r="A1194" s="47" t="n">
        <v>1193</v>
      </c>
      <c r="B1194" s="39" t="s">
        <v>957</v>
      </c>
      <c r="C1194" s="39" t="s">
        <v>2383</v>
      </c>
      <c r="D1194" s="39" t="s">
        <v>2840</v>
      </c>
      <c r="E1194" s="48" t="s">
        <v>2384</v>
      </c>
      <c r="F1194" s="49" t="s">
        <v>3321</v>
      </c>
      <c r="G1194" s="39" t="s">
        <v>2898</v>
      </c>
    </row>
    <row r="1195" customFormat="false" ht="18" hidden="false" customHeight="true" outlineLevel="0" collapsed="false">
      <c r="A1195" s="47" t="n">
        <v>1194</v>
      </c>
      <c r="B1195" s="39" t="s">
        <v>957</v>
      </c>
      <c r="C1195" s="39" t="s">
        <v>2383</v>
      </c>
      <c r="D1195" s="39" t="s">
        <v>101</v>
      </c>
      <c r="E1195" s="48" t="s">
        <v>2385</v>
      </c>
      <c r="F1195" s="49" t="s">
        <v>956</v>
      </c>
      <c r="G1195" s="39" t="s">
        <v>2843</v>
      </c>
    </row>
    <row r="1196" customFormat="false" ht="18" hidden="false" customHeight="true" outlineLevel="0" collapsed="false">
      <c r="A1196" s="47" t="n">
        <v>1195</v>
      </c>
      <c r="B1196" s="39" t="s">
        <v>957</v>
      </c>
      <c r="C1196" s="39" t="s">
        <v>2383</v>
      </c>
      <c r="D1196" s="39" t="s">
        <v>2845</v>
      </c>
      <c r="E1196" s="48" t="s">
        <v>2386</v>
      </c>
      <c r="F1196" s="49" t="s">
        <v>2183</v>
      </c>
      <c r="G1196" s="39" t="s">
        <v>3315</v>
      </c>
    </row>
    <row r="1197" customFormat="false" ht="18" hidden="false" customHeight="true" outlineLevel="0" collapsed="false">
      <c r="A1197" s="47" t="n">
        <v>1196</v>
      </c>
      <c r="B1197" s="39" t="s">
        <v>957</v>
      </c>
      <c r="C1197" s="39" t="s">
        <v>2383</v>
      </c>
      <c r="D1197" s="39" t="s">
        <v>2848</v>
      </c>
      <c r="E1197" s="48" t="s">
        <v>2387</v>
      </c>
      <c r="F1197" s="49" t="s">
        <v>3322</v>
      </c>
      <c r="G1197" s="39" t="s">
        <v>3315</v>
      </c>
    </row>
    <row r="1198" customFormat="false" ht="18" hidden="false" customHeight="true" outlineLevel="0" collapsed="false">
      <c r="A1198" s="47" t="n">
        <v>1197</v>
      </c>
      <c r="B1198" s="39" t="s">
        <v>957</v>
      </c>
      <c r="C1198" s="39" t="s">
        <v>2383</v>
      </c>
      <c r="D1198" s="39" t="s">
        <v>2850</v>
      </c>
      <c r="E1198" s="48" t="s">
        <v>2388</v>
      </c>
      <c r="F1198" s="49" t="s">
        <v>3323</v>
      </c>
      <c r="G1198" s="39" t="s">
        <v>2852</v>
      </c>
    </row>
    <row r="1199" customFormat="false" ht="18" hidden="false" customHeight="true" outlineLevel="0" collapsed="false">
      <c r="A1199" s="47" t="n">
        <v>1198</v>
      </c>
      <c r="B1199" s="39" t="s">
        <v>957</v>
      </c>
      <c r="C1199" s="39" t="s">
        <v>2383</v>
      </c>
      <c r="D1199" s="39" t="s">
        <v>109</v>
      </c>
      <c r="E1199" s="48" t="s">
        <v>1140</v>
      </c>
      <c r="F1199" s="49" t="s">
        <v>151</v>
      </c>
      <c r="G1199" s="39" t="s">
        <v>2853</v>
      </c>
    </row>
    <row r="1200" customFormat="false" ht="18" hidden="false" customHeight="true" outlineLevel="0" collapsed="false">
      <c r="A1200" s="47" t="n">
        <v>1199</v>
      </c>
      <c r="B1200" s="39" t="s">
        <v>1072</v>
      </c>
      <c r="C1200" s="39" t="s">
        <v>2389</v>
      </c>
      <c r="D1200" s="39" t="s">
        <v>2840</v>
      </c>
      <c r="E1200" s="48" t="s">
        <v>2390</v>
      </c>
      <c r="F1200" s="49" t="s">
        <v>3324</v>
      </c>
      <c r="G1200" s="39" t="s">
        <v>2898</v>
      </c>
    </row>
    <row r="1201" customFormat="false" ht="18" hidden="false" customHeight="true" outlineLevel="0" collapsed="false">
      <c r="A1201" s="47" t="n">
        <v>1200</v>
      </c>
      <c r="B1201" s="39" t="s">
        <v>1072</v>
      </c>
      <c r="C1201" s="39" t="s">
        <v>2389</v>
      </c>
      <c r="D1201" s="39" t="s">
        <v>101</v>
      </c>
      <c r="E1201" s="48" t="s">
        <v>2391</v>
      </c>
      <c r="F1201" s="49" t="s">
        <v>1071</v>
      </c>
      <c r="G1201" s="39" t="s">
        <v>2843</v>
      </c>
    </row>
    <row r="1202" customFormat="false" ht="18" hidden="false" customHeight="true" outlineLevel="0" collapsed="false">
      <c r="A1202" s="47" t="n">
        <v>1201</v>
      </c>
      <c r="B1202" s="39" t="s">
        <v>1072</v>
      </c>
      <c r="C1202" s="39" t="s">
        <v>2389</v>
      </c>
      <c r="D1202" s="39" t="s">
        <v>77</v>
      </c>
      <c r="E1202" s="48" t="s">
        <v>2392</v>
      </c>
      <c r="F1202" s="49" t="s">
        <v>82</v>
      </c>
      <c r="G1202" s="39" t="s">
        <v>2863</v>
      </c>
    </row>
    <row r="1203" customFormat="false" ht="18" hidden="false" customHeight="true" outlineLevel="0" collapsed="false">
      <c r="A1203" s="47" t="n">
        <v>1202</v>
      </c>
      <c r="B1203" s="39" t="s">
        <v>1072</v>
      </c>
      <c r="C1203" s="39" t="s">
        <v>2389</v>
      </c>
      <c r="D1203" s="39" t="s">
        <v>2845</v>
      </c>
      <c r="E1203" s="48" t="s">
        <v>2393</v>
      </c>
      <c r="F1203" s="49" t="s">
        <v>1826</v>
      </c>
      <c r="G1203" s="39" t="s">
        <v>3315</v>
      </c>
    </row>
    <row r="1204" customFormat="false" ht="18" hidden="false" customHeight="true" outlineLevel="0" collapsed="false">
      <c r="A1204" s="47" t="n">
        <v>1203</v>
      </c>
      <c r="B1204" s="39" t="s">
        <v>1072</v>
      </c>
      <c r="C1204" s="39" t="s">
        <v>2389</v>
      </c>
      <c r="D1204" s="39" t="s">
        <v>2848</v>
      </c>
      <c r="E1204" s="48" t="s">
        <v>2393</v>
      </c>
      <c r="F1204" s="49" t="s">
        <v>1826</v>
      </c>
      <c r="G1204" s="39" t="s">
        <v>3315</v>
      </c>
    </row>
    <row r="1205" customFormat="false" ht="18" hidden="false" customHeight="true" outlineLevel="0" collapsed="false">
      <c r="A1205" s="47" t="n">
        <v>1204</v>
      </c>
      <c r="B1205" s="39" t="s">
        <v>1072</v>
      </c>
      <c r="C1205" s="39" t="s">
        <v>2389</v>
      </c>
      <c r="D1205" s="39" t="s">
        <v>2850</v>
      </c>
      <c r="E1205" s="48" t="s">
        <v>2394</v>
      </c>
      <c r="F1205" s="49" t="s">
        <v>3117</v>
      </c>
      <c r="G1205" s="39" t="s">
        <v>2852</v>
      </c>
    </row>
    <row r="1206" customFormat="false" ht="18" hidden="false" customHeight="true" outlineLevel="0" collapsed="false">
      <c r="A1206" s="47" t="n">
        <v>1205</v>
      </c>
      <c r="B1206" s="39" t="s">
        <v>1072</v>
      </c>
      <c r="C1206" s="39" t="s">
        <v>2389</v>
      </c>
      <c r="D1206" s="39" t="s">
        <v>109</v>
      </c>
      <c r="E1206" s="48" t="s">
        <v>2395</v>
      </c>
      <c r="F1206" s="49" t="s">
        <v>130</v>
      </c>
      <c r="G1206" s="39" t="s">
        <v>2853</v>
      </c>
    </row>
    <row r="1207" customFormat="false" ht="18" hidden="false" customHeight="true" outlineLevel="0" collapsed="false">
      <c r="A1207" s="47" t="n">
        <v>1206</v>
      </c>
      <c r="B1207" s="39" t="s">
        <v>418</v>
      </c>
      <c r="C1207" s="39" t="s">
        <v>2396</v>
      </c>
      <c r="D1207" s="39" t="s">
        <v>101</v>
      </c>
      <c r="E1207" s="48" t="s">
        <v>2398</v>
      </c>
      <c r="F1207" s="49" t="s">
        <v>417</v>
      </c>
      <c r="G1207" s="39" t="s">
        <v>2843</v>
      </c>
    </row>
    <row r="1208" customFormat="false" ht="18" hidden="false" customHeight="true" outlineLevel="0" collapsed="false">
      <c r="A1208" s="47" t="n">
        <v>1207</v>
      </c>
      <c r="B1208" s="39" t="s">
        <v>418</v>
      </c>
      <c r="C1208" s="39" t="s">
        <v>2396</v>
      </c>
      <c r="D1208" s="39" t="s">
        <v>102</v>
      </c>
      <c r="E1208" s="48" t="s">
        <v>2399</v>
      </c>
      <c r="F1208" s="49" t="s">
        <v>150</v>
      </c>
      <c r="G1208" s="39" t="s">
        <v>2844</v>
      </c>
    </row>
    <row r="1209" customFormat="false" ht="18" hidden="false" customHeight="true" outlineLevel="0" collapsed="false">
      <c r="A1209" s="47" t="n">
        <v>1208</v>
      </c>
      <c r="B1209" s="39" t="s">
        <v>418</v>
      </c>
      <c r="C1209" s="39" t="s">
        <v>2396</v>
      </c>
      <c r="D1209" s="39" t="s">
        <v>77</v>
      </c>
      <c r="E1209" s="48" t="s">
        <v>1330</v>
      </c>
      <c r="F1209" s="49" t="s">
        <v>80</v>
      </c>
      <c r="G1209" s="39" t="s">
        <v>2863</v>
      </c>
    </row>
    <row r="1210" customFormat="false" ht="18" hidden="false" customHeight="true" outlineLevel="0" collapsed="false">
      <c r="A1210" s="47" t="n">
        <v>1209</v>
      </c>
      <c r="B1210" s="39" t="s">
        <v>418</v>
      </c>
      <c r="C1210" s="39" t="s">
        <v>2396</v>
      </c>
      <c r="D1210" s="39" t="s">
        <v>2845</v>
      </c>
      <c r="E1210" s="48" t="s">
        <v>2400</v>
      </c>
      <c r="F1210" s="49" t="s">
        <v>3325</v>
      </c>
      <c r="G1210" s="39" t="s">
        <v>3315</v>
      </c>
    </row>
    <row r="1211" customFormat="false" ht="18" hidden="false" customHeight="true" outlineLevel="0" collapsed="false">
      <c r="A1211" s="47" t="n">
        <v>1210</v>
      </c>
      <c r="B1211" s="39" t="s">
        <v>418</v>
      </c>
      <c r="C1211" s="39" t="s">
        <v>2396</v>
      </c>
      <c r="D1211" s="39" t="s">
        <v>2848</v>
      </c>
      <c r="E1211" s="48" t="s">
        <v>2400</v>
      </c>
      <c r="F1211" s="49" t="s">
        <v>3325</v>
      </c>
      <c r="G1211" s="39" t="s">
        <v>3315</v>
      </c>
    </row>
    <row r="1212" customFormat="false" ht="18" hidden="false" customHeight="true" outlineLevel="0" collapsed="false">
      <c r="A1212" s="47" t="n">
        <v>1211</v>
      </c>
      <c r="B1212" s="39" t="s">
        <v>418</v>
      </c>
      <c r="C1212" s="39" t="s">
        <v>2396</v>
      </c>
      <c r="D1212" s="39" t="s">
        <v>2850</v>
      </c>
      <c r="E1212" s="48" t="s">
        <v>2401</v>
      </c>
      <c r="F1212" s="49" t="s">
        <v>3326</v>
      </c>
      <c r="G1212" s="39" t="s">
        <v>2852</v>
      </c>
    </row>
    <row r="1213" customFormat="false" ht="18" hidden="false" customHeight="true" outlineLevel="0" collapsed="false">
      <c r="A1213" s="47" t="n">
        <v>1212</v>
      </c>
      <c r="B1213" s="39" t="s">
        <v>418</v>
      </c>
      <c r="C1213" s="39" t="s">
        <v>2396</v>
      </c>
      <c r="D1213" s="39" t="s">
        <v>109</v>
      </c>
      <c r="E1213" s="48" t="s">
        <v>2034</v>
      </c>
      <c r="F1213" s="49" t="s">
        <v>130</v>
      </c>
      <c r="G1213" s="39" t="s">
        <v>2853</v>
      </c>
    </row>
    <row r="1214" customFormat="false" ht="18" hidden="false" customHeight="true" outlineLevel="0" collapsed="false">
      <c r="A1214" s="47" t="n">
        <v>1213</v>
      </c>
      <c r="B1214" s="39" t="s">
        <v>2402</v>
      </c>
      <c r="C1214" s="39" t="s">
        <v>2403</v>
      </c>
      <c r="D1214" s="39" t="s">
        <v>102</v>
      </c>
      <c r="E1214" s="48" t="s">
        <v>1172</v>
      </c>
      <c r="F1214" s="49" t="s">
        <v>128</v>
      </c>
      <c r="G1214" s="39" t="s">
        <v>2844</v>
      </c>
    </row>
    <row r="1215" customFormat="false" ht="18" hidden="false" customHeight="true" outlineLevel="0" collapsed="false">
      <c r="A1215" s="47" t="n">
        <v>1214</v>
      </c>
      <c r="B1215" s="39" t="s">
        <v>2402</v>
      </c>
      <c r="C1215" s="39" t="s">
        <v>2403</v>
      </c>
      <c r="D1215" s="39" t="s">
        <v>2845</v>
      </c>
      <c r="E1215" s="48" t="s">
        <v>2404</v>
      </c>
      <c r="F1215" s="49" t="s">
        <v>3327</v>
      </c>
      <c r="G1215" s="39" t="s">
        <v>3315</v>
      </c>
    </row>
    <row r="1216" customFormat="false" ht="18" hidden="false" customHeight="true" outlineLevel="0" collapsed="false">
      <c r="A1216" s="47" t="n">
        <v>1215</v>
      </c>
      <c r="B1216" s="39" t="s">
        <v>2402</v>
      </c>
      <c r="C1216" s="39" t="s">
        <v>2403</v>
      </c>
      <c r="D1216" s="39" t="s">
        <v>2848</v>
      </c>
      <c r="E1216" s="48" t="s">
        <v>2405</v>
      </c>
      <c r="F1216" s="49" t="s">
        <v>3328</v>
      </c>
      <c r="G1216" s="39" t="s">
        <v>3315</v>
      </c>
    </row>
    <row r="1217" customFormat="false" ht="18" hidden="false" customHeight="true" outlineLevel="0" collapsed="false">
      <c r="A1217" s="47" t="n">
        <v>1216</v>
      </c>
      <c r="B1217" s="39" t="s">
        <v>2402</v>
      </c>
      <c r="C1217" s="39" t="s">
        <v>2403</v>
      </c>
      <c r="D1217" s="39" t="s">
        <v>109</v>
      </c>
      <c r="E1217" s="48" t="s">
        <v>1140</v>
      </c>
      <c r="F1217" s="49" t="s">
        <v>151</v>
      </c>
      <c r="G1217" s="39" t="s">
        <v>2853</v>
      </c>
    </row>
    <row r="1218" customFormat="false" ht="18" hidden="false" customHeight="true" outlineLevel="0" collapsed="false">
      <c r="A1218" s="47" t="n">
        <v>1217</v>
      </c>
      <c r="B1218" s="39" t="s">
        <v>2407</v>
      </c>
      <c r="C1218" s="39" t="s">
        <v>2408</v>
      </c>
      <c r="D1218" s="39" t="s">
        <v>2840</v>
      </c>
      <c r="E1218" s="48" t="s">
        <v>2409</v>
      </c>
      <c r="F1218" s="49" t="s">
        <v>3308</v>
      </c>
      <c r="G1218" s="39" t="s">
        <v>2898</v>
      </c>
    </row>
    <row r="1219" customFormat="false" ht="18" hidden="false" customHeight="true" outlineLevel="0" collapsed="false">
      <c r="A1219" s="47" t="n">
        <v>1218</v>
      </c>
      <c r="B1219" s="39" t="s">
        <v>2407</v>
      </c>
      <c r="C1219" s="39" t="s">
        <v>2408</v>
      </c>
      <c r="D1219" s="39" t="s">
        <v>101</v>
      </c>
      <c r="E1219" s="48" t="s">
        <v>2410</v>
      </c>
      <c r="F1219" s="49" t="s">
        <v>1036</v>
      </c>
      <c r="G1219" s="39" t="s">
        <v>2843</v>
      </c>
    </row>
    <row r="1220" customFormat="false" ht="18" hidden="false" customHeight="true" outlineLevel="0" collapsed="false">
      <c r="A1220" s="47" t="n">
        <v>1219</v>
      </c>
      <c r="B1220" s="39" t="s">
        <v>2407</v>
      </c>
      <c r="C1220" s="39" t="s">
        <v>2408</v>
      </c>
      <c r="D1220" s="39" t="s">
        <v>102</v>
      </c>
      <c r="E1220" s="48" t="s">
        <v>1201</v>
      </c>
      <c r="F1220" s="49" t="s">
        <v>128</v>
      </c>
      <c r="G1220" s="39" t="s">
        <v>2844</v>
      </c>
    </row>
    <row r="1221" customFormat="false" ht="18" hidden="false" customHeight="true" outlineLevel="0" collapsed="false">
      <c r="A1221" s="47" t="n">
        <v>1220</v>
      </c>
      <c r="B1221" s="39" t="s">
        <v>2407</v>
      </c>
      <c r="C1221" s="39" t="s">
        <v>2408</v>
      </c>
      <c r="D1221" s="39" t="s">
        <v>2845</v>
      </c>
      <c r="E1221" s="48" t="s">
        <v>2411</v>
      </c>
      <c r="F1221" s="49" t="s">
        <v>1865</v>
      </c>
      <c r="G1221" s="39" t="s">
        <v>3315</v>
      </c>
    </row>
    <row r="1222" customFormat="false" ht="18" hidden="false" customHeight="true" outlineLevel="0" collapsed="false">
      <c r="A1222" s="47" t="n">
        <v>1221</v>
      </c>
      <c r="B1222" s="39" t="s">
        <v>2407</v>
      </c>
      <c r="C1222" s="39" t="s">
        <v>2408</v>
      </c>
      <c r="D1222" s="39" t="s">
        <v>2848</v>
      </c>
      <c r="E1222" s="48" t="s">
        <v>2412</v>
      </c>
      <c r="F1222" s="49" t="s">
        <v>3190</v>
      </c>
      <c r="G1222" s="39" t="s">
        <v>3315</v>
      </c>
    </row>
    <row r="1223" customFormat="false" ht="18" hidden="false" customHeight="true" outlineLevel="0" collapsed="false">
      <c r="A1223" s="47" t="n">
        <v>1222</v>
      </c>
      <c r="B1223" s="39" t="s">
        <v>2407</v>
      </c>
      <c r="C1223" s="39" t="s">
        <v>2408</v>
      </c>
      <c r="D1223" s="39" t="s">
        <v>109</v>
      </c>
      <c r="E1223" s="48" t="s">
        <v>1140</v>
      </c>
      <c r="F1223" s="49" t="s">
        <v>151</v>
      </c>
      <c r="G1223" s="39" t="s">
        <v>2853</v>
      </c>
    </row>
    <row r="1224" customFormat="false" ht="18" hidden="false" customHeight="true" outlineLevel="0" collapsed="false">
      <c r="A1224" s="47" t="n">
        <v>1223</v>
      </c>
      <c r="B1224" s="39" t="s">
        <v>413</v>
      </c>
      <c r="C1224" s="39" t="s">
        <v>2414</v>
      </c>
      <c r="D1224" s="39" t="s">
        <v>2840</v>
      </c>
      <c r="E1224" s="48" t="s">
        <v>2415</v>
      </c>
      <c r="F1224" s="49" t="s">
        <v>3329</v>
      </c>
      <c r="G1224" s="39" t="s">
        <v>2898</v>
      </c>
    </row>
    <row r="1225" customFormat="false" ht="18" hidden="false" customHeight="true" outlineLevel="0" collapsed="false">
      <c r="A1225" s="47" t="n">
        <v>1224</v>
      </c>
      <c r="B1225" s="39" t="s">
        <v>413</v>
      </c>
      <c r="C1225" s="39" t="s">
        <v>2414</v>
      </c>
      <c r="D1225" s="39" t="s">
        <v>101</v>
      </c>
      <c r="E1225" s="48" t="s">
        <v>2416</v>
      </c>
      <c r="F1225" s="49" t="s">
        <v>412</v>
      </c>
      <c r="G1225" s="39" t="s">
        <v>2843</v>
      </c>
    </row>
    <row r="1226" customFormat="false" ht="18" hidden="false" customHeight="true" outlineLevel="0" collapsed="false">
      <c r="A1226" s="47" t="n">
        <v>1225</v>
      </c>
      <c r="B1226" s="39" t="s">
        <v>413</v>
      </c>
      <c r="C1226" s="39" t="s">
        <v>2414</v>
      </c>
      <c r="D1226" s="39" t="s">
        <v>2845</v>
      </c>
      <c r="E1226" s="48" t="s">
        <v>2417</v>
      </c>
      <c r="F1226" s="49" t="s">
        <v>3330</v>
      </c>
      <c r="G1226" s="39" t="s">
        <v>3315</v>
      </c>
    </row>
    <row r="1227" customFormat="false" ht="18" hidden="false" customHeight="true" outlineLevel="0" collapsed="false">
      <c r="A1227" s="47" t="n">
        <v>1226</v>
      </c>
      <c r="B1227" s="39" t="s">
        <v>413</v>
      </c>
      <c r="C1227" s="39" t="s">
        <v>2414</v>
      </c>
      <c r="D1227" s="39" t="s">
        <v>2848</v>
      </c>
      <c r="E1227" s="48" t="s">
        <v>2418</v>
      </c>
      <c r="F1227" s="49" t="s">
        <v>3331</v>
      </c>
      <c r="G1227" s="39" t="s">
        <v>3315</v>
      </c>
    </row>
    <row r="1228" customFormat="false" ht="18" hidden="false" customHeight="true" outlineLevel="0" collapsed="false">
      <c r="A1228" s="47" t="n">
        <v>1227</v>
      </c>
      <c r="B1228" s="39" t="s">
        <v>413</v>
      </c>
      <c r="C1228" s="39" t="s">
        <v>2414</v>
      </c>
      <c r="D1228" s="39" t="s">
        <v>2850</v>
      </c>
      <c r="E1228" s="48" t="s">
        <v>2419</v>
      </c>
      <c r="F1228" s="49" t="s">
        <v>3332</v>
      </c>
      <c r="G1228" s="39" t="s">
        <v>2852</v>
      </c>
    </row>
    <row r="1229" customFormat="false" ht="18" hidden="false" customHeight="true" outlineLevel="0" collapsed="false">
      <c r="A1229" s="47" t="n">
        <v>1228</v>
      </c>
      <c r="B1229" s="39" t="s">
        <v>413</v>
      </c>
      <c r="C1229" s="39" t="s">
        <v>2414</v>
      </c>
      <c r="D1229" s="39" t="s">
        <v>109</v>
      </c>
      <c r="E1229" s="48" t="s">
        <v>1140</v>
      </c>
      <c r="F1229" s="49" t="s">
        <v>151</v>
      </c>
      <c r="G1229" s="39" t="s">
        <v>2853</v>
      </c>
    </row>
    <row r="1230" customFormat="false" ht="18" hidden="false" customHeight="true" outlineLevel="0" collapsed="false">
      <c r="A1230" s="47" t="n">
        <v>1229</v>
      </c>
      <c r="B1230" s="39" t="s">
        <v>2420</v>
      </c>
      <c r="C1230" s="39" t="s">
        <v>2421</v>
      </c>
      <c r="D1230" s="39" t="s">
        <v>102</v>
      </c>
      <c r="E1230" s="48" t="s">
        <v>1194</v>
      </c>
      <c r="F1230" s="49" t="s">
        <v>128</v>
      </c>
      <c r="G1230" s="39" t="s">
        <v>2844</v>
      </c>
    </row>
    <row r="1231" customFormat="false" ht="18" hidden="false" customHeight="true" outlineLevel="0" collapsed="false">
      <c r="A1231" s="47" t="n">
        <v>1230</v>
      </c>
      <c r="B1231" s="39" t="s">
        <v>2420</v>
      </c>
      <c r="C1231" s="39" t="s">
        <v>2421</v>
      </c>
      <c r="D1231" s="39" t="s">
        <v>77</v>
      </c>
      <c r="E1231" s="48" t="s">
        <v>1243</v>
      </c>
      <c r="F1231" s="49" t="s">
        <v>79</v>
      </c>
      <c r="G1231" s="39" t="s">
        <v>2863</v>
      </c>
    </row>
    <row r="1232" customFormat="false" ht="18" hidden="false" customHeight="true" outlineLevel="0" collapsed="false">
      <c r="A1232" s="47" t="n">
        <v>1231</v>
      </c>
      <c r="B1232" s="39" t="s">
        <v>2420</v>
      </c>
      <c r="C1232" s="39" t="s">
        <v>2421</v>
      </c>
      <c r="D1232" s="39" t="s">
        <v>2845</v>
      </c>
      <c r="E1232" s="48" t="s">
        <v>2422</v>
      </c>
      <c r="F1232" s="49" t="s">
        <v>3101</v>
      </c>
      <c r="G1232" s="39" t="s">
        <v>3315</v>
      </c>
    </row>
    <row r="1233" customFormat="false" ht="18" hidden="false" customHeight="true" outlineLevel="0" collapsed="false">
      <c r="A1233" s="47" t="n">
        <v>1232</v>
      </c>
      <c r="B1233" s="39" t="s">
        <v>2420</v>
      </c>
      <c r="C1233" s="39" t="s">
        <v>2421</v>
      </c>
      <c r="D1233" s="39" t="s">
        <v>2848</v>
      </c>
      <c r="E1233" s="48" t="s">
        <v>2423</v>
      </c>
      <c r="F1233" s="49" t="s">
        <v>3333</v>
      </c>
      <c r="G1233" s="39" t="s">
        <v>3315</v>
      </c>
    </row>
    <row r="1234" customFormat="false" ht="18" hidden="false" customHeight="true" outlineLevel="0" collapsed="false">
      <c r="A1234" s="47" t="n">
        <v>1233</v>
      </c>
      <c r="B1234" s="39" t="s">
        <v>2420</v>
      </c>
      <c r="C1234" s="39" t="s">
        <v>2421</v>
      </c>
      <c r="D1234" s="39" t="s">
        <v>109</v>
      </c>
      <c r="E1234" s="48" t="s">
        <v>1851</v>
      </c>
      <c r="F1234" s="49" t="s">
        <v>151</v>
      </c>
      <c r="G1234" s="39" t="s">
        <v>2853</v>
      </c>
    </row>
    <row r="1235" customFormat="false" ht="18" hidden="false" customHeight="true" outlineLevel="0" collapsed="false">
      <c r="A1235" s="47" t="n">
        <v>1234</v>
      </c>
      <c r="B1235" s="39" t="s">
        <v>734</v>
      </c>
      <c r="C1235" s="39" t="s">
        <v>2425</v>
      </c>
      <c r="D1235" s="39" t="s">
        <v>2840</v>
      </c>
      <c r="E1235" s="48" t="s">
        <v>2426</v>
      </c>
      <c r="F1235" s="49" t="s">
        <v>3334</v>
      </c>
      <c r="G1235" s="39" t="s">
        <v>2898</v>
      </c>
    </row>
    <row r="1236" customFormat="false" ht="18" hidden="false" customHeight="true" outlineLevel="0" collapsed="false">
      <c r="A1236" s="47" t="n">
        <v>1235</v>
      </c>
      <c r="B1236" s="39" t="s">
        <v>734</v>
      </c>
      <c r="C1236" s="39" t="s">
        <v>2425</v>
      </c>
      <c r="D1236" s="39" t="s">
        <v>100</v>
      </c>
      <c r="E1236" s="48" t="s">
        <v>2427</v>
      </c>
      <c r="F1236" s="49" t="s">
        <v>732</v>
      </c>
      <c r="G1236" s="39" t="s">
        <v>2878</v>
      </c>
    </row>
    <row r="1237" customFormat="false" ht="18" hidden="false" customHeight="true" outlineLevel="0" collapsed="false">
      <c r="A1237" s="47" t="n">
        <v>1236</v>
      </c>
      <c r="B1237" s="39" t="s">
        <v>734</v>
      </c>
      <c r="C1237" s="39" t="s">
        <v>2425</v>
      </c>
      <c r="D1237" s="39" t="s">
        <v>101</v>
      </c>
      <c r="E1237" s="48" t="s">
        <v>2428</v>
      </c>
      <c r="F1237" s="49" t="s">
        <v>733</v>
      </c>
      <c r="G1237" s="39" t="s">
        <v>2843</v>
      </c>
    </row>
    <row r="1238" customFormat="false" ht="18" hidden="false" customHeight="true" outlineLevel="0" collapsed="false">
      <c r="A1238" s="47" t="n">
        <v>1237</v>
      </c>
      <c r="B1238" s="39" t="s">
        <v>734</v>
      </c>
      <c r="C1238" s="39" t="s">
        <v>2425</v>
      </c>
      <c r="D1238" s="39" t="s">
        <v>2845</v>
      </c>
      <c r="E1238" s="48" t="s">
        <v>2429</v>
      </c>
      <c r="F1238" s="49" t="s">
        <v>3335</v>
      </c>
      <c r="G1238" s="39" t="s">
        <v>3315</v>
      </c>
    </row>
    <row r="1239" customFormat="false" ht="18" hidden="false" customHeight="true" outlineLevel="0" collapsed="false">
      <c r="A1239" s="47" t="n">
        <v>1238</v>
      </c>
      <c r="B1239" s="39" t="s">
        <v>734</v>
      </c>
      <c r="C1239" s="39" t="s">
        <v>2425</v>
      </c>
      <c r="D1239" s="39" t="s">
        <v>2848</v>
      </c>
      <c r="E1239" s="48" t="s">
        <v>2430</v>
      </c>
      <c r="F1239" s="49" t="s">
        <v>3336</v>
      </c>
      <c r="G1239" s="39" t="s">
        <v>3315</v>
      </c>
    </row>
    <row r="1240" customFormat="false" ht="18" hidden="false" customHeight="true" outlineLevel="0" collapsed="false">
      <c r="A1240" s="47" t="n">
        <v>1239</v>
      </c>
      <c r="B1240" s="39" t="s">
        <v>734</v>
      </c>
      <c r="C1240" s="39" t="s">
        <v>2425</v>
      </c>
      <c r="D1240" s="39" t="s">
        <v>2850</v>
      </c>
      <c r="E1240" s="48" t="s">
        <v>2431</v>
      </c>
      <c r="F1240" s="49" t="s">
        <v>3337</v>
      </c>
      <c r="G1240" s="39" t="s">
        <v>2852</v>
      </c>
    </row>
    <row r="1241" customFormat="false" ht="18" hidden="false" customHeight="true" outlineLevel="0" collapsed="false">
      <c r="A1241" s="47" t="n">
        <v>1240</v>
      </c>
      <c r="B1241" s="39" t="s">
        <v>734</v>
      </c>
      <c r="C1241" s="39" t="s">
        <v>2425</v>
      </c>
      <c r="D1241" s="39" t="s">
        <v>109</v>
      </c>
      <c r="E1241" s="48" t="s">
        <v>2034</v>
      </c>
      <c r="F1241" s="49" t="s">
        <v>130</v>
      </c>
      <c r="G1241" s="39" t="s">
        <v>2853</v>
      </c>
    </row>
    <row r="1242" customFormat="false" ht="18" hidden="false" customHeight="true" outlineLevel="0" collapsed="false">
      <c r="A1242" s="47" t="n">
        <v>1241</v>
      </c>
      <c r="B1242" s="39" t="s">
        <v>410</v>
      </c>
      <c r="C1242" s="39" t="s">
        <v>2432</v>
      </c>
      <c r="D1242" s="39" t="s">
        <v>101</v>
      </c>
      <c r="E1242" s="48" t="s">
        <v>2434</v>
      </c>
      <c r="F1242" s="49" t="s">
        <v>409</v>
      </c>
      <c r="G1242" s="39" t="s">
        <v>2843</v>
      </c>
    </row>
    <row r="1243" customFormat="false" ht="18" hidden="false" customHeight="true" outlineLevel="0" collapsed="false">
      <c r="A1243" s="47" t="n">
        <v>1242</v>
      </c>
      <c r="B1243" s="39" t="s">
        <v>410</v>
      </c>
      <c r="C1243" s="39" t="s">
        <v>2432</v>
      </c>
      <c r="D1243" s="39" t="s">
        <v>102</v>
      </c>
      <c r="E1243" s="48" t="s">
        <v>1194</v>
      </c>
      <c r="F1243" s="49" t="s">
        <v>128</v>
      </c>
      <c r="G1243" s="39" t="s">
        <v>2844</v>
      </c>
    </row>
    <row r="1244" customFormat="false" ht="18" hidden="false" customHeight="true" outlineLevel="0" collapsed="false">
      <c r="A1244" s="47" t="n">
        <v>1243</v>
      </c>
      <c r="B1244" s="39" t="s">
        <v>410</v>
      </c>
      <c r="C1244" s="39" t="s">
        <v>2432</v>
      </c>
      <c r="D1244" s="39" t="s">
        <v>77</v>
      </c>
      <c r="E1244" s="48" t="s">
        <v>1137</v>
      </c>
      <c r="F1244" s="49" t="s">
        <v>79</v>
      </c>
      <c r="G1244" s="39" t="s">
        <v>2863</v>
      </c>
    </row>
    <row r="1245" customFormat="false" ht="18" hidden="false" customHeight="true" outlineLevel="0" collapsed="false">
      <c r="A1245" s="47" t="n">
        <v>1244</v>
      </c>
      <c r="B1245" s="39" t="s">
        <v>410</v>
      </c>
      <c r="C1245" s="39" t="s">
        <v>2432</v>
      </c>
      <c r="D1245" s="39" t="s">
        <v>2845</v>
      </c>
      <c r="E1245" s="48" t="s">
        <v>2417</v>
      </c>
      <c r="F1245" s="49" t="s">
        <v>3330</v>
      </c>
      <c r="G1245" s="39" t="s">
        <v>3315</v>
      </c>
    </row>
    <row r="1246" customFormat="false" ht="18" hidden="false" customHeight="true" outlineLevel="0" collapsed="false">
      <c r="A1246" s="47" t="n">
        <v>1245</v>
      </c>
      <c r="B1246" s="39" t="s">
        <v>410</v>
      </c>
      <c r="C1246" s="39" t="s">
        <v>2432</v>
      </c>
      <c r="D1246" s="39" t="s">
        <v>2848</v>
      </c>
      <c r="E1246" s="48" t="s">
        <v>2435</v>
      </c>
      <c r="F1246" s="49" t="s">
        <v>3338</v>
      </c>
      <c r="G1246" s="39" t="s">
        <v>3315</v>
      </c>
    </row>
    <row r="1247" customFormat="false" ht="18" hidden="false" customHeight="true" outlineLevel="0" collapsed="false">
      <c r="A1247" s="47" t="n">
        <v>1246</v>
      </c>
      <c r="B1247" s="39" t="s">
        <v>410</v>
      </c>
      <c r="C1247" s="39" t="s">
        <v>2432</v>
      </c>
      <c r="D1247" s="39" t="s">
        <v>109</v>
      </c>
      <c r="E1247" s="48" t="s">
        <v>2034</v>
      </c>
      <c r="F1247" s="49" t="s">
        <v>130</v>
      </c>
      <c r="G1247" s="39" t="s">
        <v>2853</v>
      </c>
    </row>
    <row r="1248" customFormat="false" ht="18" hidden="false" customHeight="true" outlineLevel="0" collapsed="false">
      <c r="A1248" s="47" t="n">
        <v>1247</v>
      </c>
      <c r="B1248" s="39" t="s">
        <v>352</v>
      </c>
      <c r="C1248" s="39" t="s">
        <v>2437</v>
      </c>
      <c r="D1248" s="39" t="s">
        <v>101</v>
      </c>
      <c r="E1248" s="48" t="s">
        <v>2439</v>
      </c>
      <c r="F1248" s="49" t="s">
        <v>351</v>
      </c>
      <c r="G1248" s="39" t="s">
        <v>2843</v>
      </c>
    </row>
    <row r="1249" customFormat="false" ht="18" hidden="false" customHeight="true" outlineLevel="0" collapsed="false">
      <c r="A1249" s="47" t="n">
        <v>1248</v>
      </c>
      <c r="B1249" s="39" t="s">
        <v>352</v>
      </c>
      <c r="C1249" s="39" t="s">
        <v>2437</v>
      </c>
      <c r="D1249" s="39" t="s">
        <v>102</v>
      </c>
      <c r="E1249" s="48" t="s">
        <v>1201</v>
      </c>
      <c r="F1249" s="49" t="s">
        <v>128</v>
      </c>
      <c r="G1249" s="39" t="s">
        <v>2844</v>
      </c>
    </row>
    <row r="1250" customFormat="false" ht="18" hidden="false" customHeight="true" outlineLevel="0" collapsed="false">
      <c r="A1250" s="47" t="n">
        <v>1249</v>
      </c>
      <c r="B1250" s="39" t="s">
        <v>352</v>
      </c>
      <c r="C1250" s="39" t="s">
        <v>2437</v>
      </c>
      <c r="D1250" s="39" t="s">
        <v>2845</v>
      </c>
      <c r="E1250" s="48" t="s">
        <v>2440</v>
      </c>
      <c r="F1250" s="49" t="s">
        <v>3339</v>
      </c>
      <c r="G1250" s="39" t="s">
        <v>3315</v>
      </c>
    </row>
    <row r="1251" customFormat="false" ht="18" hidden="false" customHeight="true" outlineLevel="0" collapsed="false">
      <c r="A1251" s="47" t="n">
        <v>1250</v>
      </c>
      <c r="B1251" s="39" t="s">
        <v>352</v>
      </c>
      <c r="C1251" s="39" t="s">
        <v>2437</v>
      </c>
      <c r="D1251" s="39" t="s">
        <v>2848</v>
      </c>
      <c r="E1251" s="48" t="s">
        <v>2441</v>
      </c>
      <c r="F1251" s="49" t="s">
        <v>1856</v>
      </c>
      <c r="G1251" s="39" t="s">
        <v>3315</v>
      </c>
    </row>
    <row r="1252" customFormat="false" ht="18" hidden="false" customHeight="true" outlineLevel="0" collapsed="false">
      <c r="A1252" s="47" t="n">
        <v>1251</v>
      </c>
      <c r="B1252" s="39" t="s">
        <v>352</v>
      </c>
      <c r="C1252" s="39" t="s">
        <v>2437</v>
      </c>
      <c r="D1252" s="39" t="s">
        <v>2850</v>
      </c>
      <c r="E1252" s="48" t="s">
        <v>2442</v>
      </c>
      <c r="F1252" s="49" t="s">
        <v>2681</v>
      </c>
      <c r="G1252" s="39" t="s">
        <v>2852</v>
      </c>
    </row>
    <row r="1253" customFormat="false" ht="18" hidden="false" customHeight="true" outlineLevel="0" collapsed="false">
      <c r="A1253" s="47" t="n">
        <v>1252</v>
      </c>
      <c r="B1253" s="39" t="s">
        <v>352</v>
      </c>
      <c r="C1253" s="39" t="s">
        <v>2437</v>
      </c>
      <c r="D1253" s="39" t="s">
        <v>109</v>
      </c>
      <c r="E1253" s="48" t="s">
        <v>1140</v>
      </c>
      <c r="F1253" s="49" t="s">
        <v>151</v>
      </c>
      <c r="G1253" s="39" t="s">
        <v>2853</v>
      </c>
    </row>
    <row r="1254" customFormat="false" ht="18" hidden="false" customHeight="true" outlineLevel="0" collapsed="false">
      <c r="A1254" s="47" t="n">
        <v>1253</v>
      </c>
      <c r="B1254" s="39" t="s">
        <v>914</v>
      </c>
      <c r="C1254" s="39" t="s">
        <v>2443</v>
      </c>
      <c r="D1254" s="39" t="s">
        <v>100</v>
      </c>
      <c r="E1254" s="48" t="s">
        <v>2445</v>
      </c>
      <c r="F1254" s="49" t="s">
        <v>913</v>
      </c>
      <c r="G1254" s="39" t="s">
        <v>2870</v>
      </c>
    </row>
    <row r="1255" customFormat="false" ht="18" hidden="false" customHeight="true" outlineLevel="0" collapsed="false">
      <c r="A1255" s="47" t="n">
        <v>1254</v>
      </c>
      <c r="B1255" s="39" t="s">
        <v>914</v>
      </c>
      <c r="C1255" s="39" t="s">
        <v>2443</v>
      </c>
      <c r="D1255" s="39" t="s">
        <v>2845</v>
      </c>
      <c r="E1255" s="48" t="s">
        <v>2446</v>
      </c>
      <c r="F1255" s="49" t="s">
        <v>3340</v>
      </c>
      <c r="G1255" s="39" t="s">
        <v>3315</v>
      </c>
    </row>
    <row r="1256" customFormat="false" ht="18" hidden="false" customHeight="true" outlineLevel="0" collapsed="false">
      <c r="A1256" s="47" t="n">
        <v>1255</v>
      </c>
      <c r="B1256" s="39" t="s">
        <v>914</v>
      </c>
      <c r="C1256" s="39" t="s">
        <v>2443</v>
      </c>
      <c r="D1256" s="39" t="s">
        <v>2848</v>
      </c>
      <c r="E1256" s="48" t="s">
        <v>2447</v>
      </c>
      <c r="F1256" s="49" t="s">
        <v>3341</v>
      </c>
      <c r="G1256" s="39" t="s">
        <v>3315</v>
      </c>
    </row>
    <row r="1257" customFormat="false" ht="18" hidden="false" customHeight="true" outlineLevel="0" collapsed="false">
      <c r="A1257" s="47" t="n">
        <v>1256</v>
      </c>
      <c r="B1257" s="39" t="s">
        <v>914</v>
      </c>
      <c r="C1257" s="39" t="s">
        <v>2443</v>
      </c>
      <c r="D1257" s="39" t="s">
        <v>109</v>
      </c>
      <c r="E1257" s="48" t="s">
        <v>1851</v>
      </c>
      <c r="F1257" s="49" t="s">
        <v>151</v>
      </c>
      <c r="G1257" s="39" t="s">
        <v>2853</v>
      </c>
    </row>
    <row r="1258" customFormat="false" ht="18" hidden="false" customHeight="true" outlineLevel="0" collapsed="false">
      <c r="A1258" s="47" t="n">
        <v>1257</v>
      </c>
      <c r="B1258" s="39" t="s">
        <v>834</v>
      </c>
      <c r="C1258" s="39" t="s">
        <v>2449</v>
      </c>
      <c r="D1258" s="39" t="s">
        <v>2840</v>
      </c>
      <c r="E1258" s="48" t="s">
        <v>2450</v>
      </c>
      <c r="F1258" s="49" t="s">
        <v>3342</v>
      </c>
      <c r="G1258" s="39" t="s">
        <v>2898</v>
      </c>
    </row>
    <row r="1259" customFormat="false" ht="18" hidden="false" customHeight="true" outlineLevel="0" collapsed="false">
      <c r="A1259" s="47" t="n">
        <v>1258</v>
      </c>
      <c r="B1259" s="39" t="s">
        <v>834</v>
      </c>
      <c r="C1259" s="39" t="s">
        <v>2449</v>
      </c>
      <c r="D1259" s="39" t="s">
        <v>101</v>
      </c>
      <c r="E1259" s="48" t="s">
        <v>2451</v>
      </c>
      <c r="F1259" s="49" t="s">
        <v>833</v>
      </c>
      <c r="G1259" s="39" t="s">
        <v>2843</v>
      </c>
    </row>
    <row r="1260" customFormat="false" ht="18" hidden="false" customHeight="true" outlineLevel="0" collapsed="false">
      <c r="A1260" s="47" t="n">
        <v>1259</v>
      </c>
      <c r="B1260" s="39" t="s">
        <v>834</v>
      </c>
      <c r="C1260" s="39" t="s">
        <v>2449</v>
      </c>
      <c r="D1260" s="39" t="s">
        <v>102</v>
      </c>
      <c r="E1260" s="48" t="s">
        <v>1188</v>
      </c>
      <c r="F1260" s="49" t="s">
        <v>217</v>
      </c>
      <c r="G1260" s="39" t="s">
        <v>2844</v>
      </c>
    </row>
    <row r="1261" customFormat="false" ht="18" hidden="false" customHeight="true" outlineLevel="0" collapsed="false">
      <c r="A1261" s="47" t="n">
        <v>1260</v>
      </c>
      <c r="B1261" s="39" t="s">
        <v>834</v>
      </c>
      <c r="C1261" s="39" t="s">
        <v>2449</v>
      </c>
      <c r="D1261" s="39" t="s">
        <v>77</v>
      </c>
      <c r="E1261" s="48" t="s">
        <v>1173</v>
      </c>
      <c r="F1261" s="49" t="s">
        <v>79</v>
      </c>
      <c r="G1261" s="39" t="s">
        <v>2863</v>
      </c>
    </row>
    <row r="1262" customFormat="false" ht="18" hidden="false" customHeight="true" outlineLevel="0" collapsed="false">
      <c r="A1262" s="47" t="n">
        <v>1261</v>
      </c>
      <c r="B1262" s="39" t="s">
        <v>834</v>
      </c>
      <c r="C1262" s="39" t="s">
        <v>2449</v>
      </c>
      <c r="D1262" s="39" t="s">
        <v>2845</v>
      </c>
      <c r="E1262" s="48" t="s">
        <v>2452</v>
      </c>
      <c r="F1262" s="49" t="s">
        <v>3343</v>
      </c>
      <c r="G1262" s="39" t="s">
        <v>3315</v>
      </c>
    </row>
    <row r="1263" customFormat="false" ht="18" hidden="false" customHeight="true" outlineLevel="0" collapsed="false">
      <c r="A1263" s="47" t="n">
        <v>1262</v>
      </c>
      <c r="B1263" s="39" t="s">
        <v>834</v>
      </c>
      <c r="C1263" s="39" t="s">
        <v>2449</v>
      </c>
      <c r="D1263" s="39" t="s">
        <v>2848</v>
      </c>
      <c r="E1263" s="48" t="s">
        <v>2453</v>
      </c>
      <c r="F1263" s="49" t="s">
        <v>3344</v>
      </c>
      <c r="G1263" s="39" t="s">
        <v>3315</v>
      </c>
    </row>
    <row r="1264" customFormat="false" ht="18" hidden="false" customHeight="true" outlineLevel="0" collapsed="false">
      <c r="A1264" s="47" t="n">
        <v>1263</v>
      </c>
      <c r="B1264" s="39" t="s">
        <v>834</v>
      </c>
      <c r="C1264" s="39" t="s">
        <v>2449</v>
      </c>
      <c r="D1264" s="39" t="s">
        <v>109</v>
      </c>
      <c r="E1264" s="48" t="s">
        <v>1140</v>
      </c>
      <c r="F1264" s="49" t="s">
        <v>151</v>
      </c>
      <c r="G1264" s="39" t="s">
        <v>2853</v>
      </c>
    </row>
    <row r="1265" customFormat="false" ht="18" hidden="false" customHeight="true" outlineLevel="0" collapsed="false">
      <c r="A1265" s="47" t="n">
        <v>1264</v>
      </c>
      <c r="B1265" s="39" t="s">
        <v>1055</v>
      </c>
      <c r="C1265" s="39" t="s">
        <v>2455</v>
      </c>
      <c r="D1265" s="39" t="s">
        <v>101</v>
      </c>
      <c r="E1265" s="48" t="s">
        <v>2457</v>
      </c>
      <c r="F1265" s="49" t="s">
        <v>1054</v>
      </c>
      <c r="G1265" s="39" t="s">
        <v>2843</v>
      </c>
    </row>
    <row r="1266" customFormat="false" ht="18" hidden="false" customHeight="true" outlineLevel="0" collapsed="false">
      <c r="A1266" s="47" t="n">
        <v>1265</v>
      </c>
      <c r="B1266" s="39" t="s">
        <v>1055</v>
      </c>
      <c r="C1266" s="39" t="s">
        <v>2455</v>
      </c>
      <c r="D1266" s="39" t="s">
        <v>102</v>
      </c>
      <c r="E1266" s="48" t="s">
        <v>2399</v>
      </c>
      <c r="F1266" s="49" t="s">
        <v>150</v>
      </c>
      <c r="G1266" s="39" t="s">
        <v>2844</v>
      </c>
    </row>
    <row r="1267" customFormat="false" ht="18" hidden="false" customHeight="true" outlineLevel="0" collapsed="false">
      <c r="A1267" s="47" t="n">
        <v>1266</v>
      </c>
      <c r="B1267" s="39" t="s">
        <v>1055</v>
      </c>
      <c r="C1267" s="39" t="s">
        <v>2455</v>
      </c>
      <c r="D1267" s="39" t="s">
        <v>2845</v>
      </c>
      <c r="E1267" s="48" t="s">
        <v>2458</v>
      </c>
      <c r="F1267" s="49" t="s">
        <v>3237</v>
      </c>
      <c r="G1267" s="39" t="s">
        <v>3315</v>
      </c>
    </row>
    <row r="1268" customFormat="false" ht="18" hidden="false" customHeight="true" outlineLevel="0" collapsed="false">
      <c r="A1268" s="47" t="n">
        <v>1267</v>
      </c>
      <c r="B1268" s="39" t="s">
        <v>1055</v>
      </c>
      <c r="C1268" s="39" t="s">
        <v>2455</v>
      </c>
      <c r="D1268" s="39" t="s">
        <v>2848</v>
      </c>
      <c r="E1268" s="48" t="s">
        <v>2459</v>
      </c>
      <c r="F1268" s="49" t="s">
        <v>2976</v>
      </c>
      <c r="G1268" s="39" t="s">
        <v>3315</v>
      </c>
    </row>
    <row r="1269" customFormat="false" ht="18" hidden="false" customHeight="true" outlineLevel="0" collapsed="false">
      <c r="A1269" s="47" t="n">
        <v>1268</v>
      </c>
      <c r="B1269" s="39" t="s">
        <v>1055</v>
      </c>
      <c r="C1269" s="39" t="s">
        <v>2455</v>
      </c>
      <c r="D1269" s="39" t="s">
        <v>2850</v>
      </c>
      <c r="E1269" s="48" t="s">
        <v>2460</v>
      </c>
      <c r="F1269" s="49" t="s">
        <v>3345</v>
      </c>
      <c r="G1269" s="39" t="s">
        <v>2852</v>
      </c>
    </row>
    <row r="1270" customFormat="false" ht="18" hidden="false" customHeight="true" outlineLevel="0" collapsed="false">
      <c r="A1270" s="47" t="n">
        <v>1269</v>
      </c>
      <c r="B1270" s="39" t="s">
        <v>1055</v>
      </c>
      <c r="C1270" s="39" t="s">
        <v>2455</v>
      </c>
      <c r="D1270" s="39" t="s">
        <v>109</v>
      </c>
      <c r="E1270" s="48" t="s">
        <v>2034</v>
      </c>
      <c r="F1270" s="49" t="s">
        <v>130</v>
      </c>
      <c r="G1270" s="39" t="s">
        <v>2853</v>
      </c>
    </row>
    <row r="1271" customFormat="false" ht="18" hidden="false" customHeight="true" outlineLevel="0" collapsed="false">
      <c r="A1271" s="47" t="n">
        <v>1270</v>
      </c>
      <c r="B1271" s="39" t="s">
        <v>438</v>
      </c>
      <c r="C1271" s="39" t="s">
        <v>2461</v>
      </c>
      <c r="D1271" s="39" t="s">
        <v>2840</v>
      </c>
      <c r="E1271" s="48" t="s">
        <v>2462</v>
      </c>
      <c r="F1271" s="49" t="s">
        <v>3346</v>
      </c>
      <c r="G1271" s="39" t="s">
        <v>2898</v>
      </c>
    </row>
    <row r="1272" customFormat="false" ht="18" hidden="false" customHeight="true" outlineLevel="0" collapsed="false">
      <c r="A1272" s="47" t="n">
        <v>1271</v>
      </c>
      <c r="B1272" s="39" t="s">
        <v>438</v>
      </c>
      <c r="C1272" s="39" t="s">
        <v>2461</v>
      </c>
      <c r="D1272" s="39" t="s">
        <v>101</v>
      </c>
      <c r="E1272" s="48" t="s">
        <v>2463</v>
      </c>
      <c r="F1272" s="49" t="s">
        <v>437</v>
      </c>
      <c r="G1272" s="39" t="s">
        <v>2843</v>
      </c>
    </row>
    <row r="1273" customFormat="false" ht="18" hidden="false" customHeight="true" outlineLevel="0" collapsed="false">
      <c r="A1273" s="47" t="n">
        <v>1272</v>
      </c>
      <c r="B1273" s="39" t="s">
        <v>438</v>
      </c>
      <c r="C1273" s="39" t="s">
        <v>2461</v>
      </c>
      <c r="D1273" s="39" t="s">
        <v>2845</v>
      </c>
      <c r="E1273" s="48" t="s">
        <v>2464</v>
      </c>
      <c r="F1273" s="49" t="s">
        <v>3347</v>
      </c>
      <c r="G1273" s="39" t="s">
        <v>3315</v>
      </c>
    </row>
    <row r="1274" customFormat="false" ht="18" hidden="false" customHeight="true" outlineLevel="0" collapsed="false">
      <c r="A1274" s="47" t="n">
        <v>1273</v>
      </c>
      <c r="B1274" s="39" t="s">
        <v>438</v>
      </c>
      <c r="C1274" s="39" t="s">
        <v>2461</v>
      </c>
      <c r="D1274" s="39" t="s">
        <v>2848</v>
      </c>
      <c r="E1274" s="48" t="s">
        <v>2465</v>
      </c>
      <c r="F1274" s="49" t="s">
        <v>3348</v>
      </c>
      <c r="G1274" s="39" t="s">
        <v>3315</v>
      </c>
    </row>
    <row r="1275" customFormat="false" ht="18" hidden="false" customHeight="true" outlineLevel="0" collapsed="false">
      <c r="A1275" s="47" t="n">
        <v>1274</v>
      </c>
      <c r="B1275" s="39" t="s">
        <v>438</v>
      </c>
      <c r="C1275" s="39" t="s">
        <v>2461</v>
      </c>
      <c r="D1275" s="39" t="s">
        <v>109</v>
      </c>
      <c r="E1275" s="48" t="s">
        <v>1140</v>
      </c>
      <c r="F1275" s="49" t="s">
        <v>151</v>
      </c>
      <c r="G1275" s="39" t="s">
        <v>2853</v>
      </c>
    </row>
    <row r="1276" customFormat="false" ht="18" hidden="false" customHeight="true" outlineLevel="0" collapsed="false">
      <c r="A1276" s="47" t="n">
        <v>1275</v>
      </c>
      <c r="B1276" s="39" t="s">
        <v>698</v>
      </c>
      <c r="C1276" s="39" t="s">
        <v>2467</v>
      </c>
      <c r="D1276" s="39" t="s">
        <v>100</v>
      </c>
      <c r="E1276" s="48" t="s">
        <v>2469</v>
      </c>
      <c r="F1276" s="49" t="s">
        <v>696</v>
      </c>
      <c r="G1276" s="39" t="s">
        <v>2878</v>
      </c>
    </row>
    <row r="1277" customFormat="false" ht="18" hidden="false" customHeight="true" outlineLevel="0" collapsed="false">
      <c r="A1277" s="47" t="n">
        <v>1276</v>
      </c>
      <c r="B1277" s="39" t="s">
        <v>698</v>
      </c>
      <c r="C1277" s="39" t="s">
        <v>2467</v>
      </c>
      <c r="D1277" s="39" t="s">
        <v>101</v>
      </c>
      <c r="E1277" s="48" t="s">
        <v>2470</v>
      </c>
      <c r="F1277" s="49" t="s">
        <v>697</v>
      </c>
      <c r="G1277" s="39" t="s">
        <v>2843</v>
      </c>
    </row>
    <row r="1278" customFormat="false" ht="18" hidden="false" customHeight="true" outlineLevel="0" collapsed="false">
      <c r="A1278" s="47" t="n">
        <v>1277</v>
      </c>
      <c r="B1278" s="39" t="s">
        <v>698</v>
      </c>
      <c r="C1278" s="39" t="s">
        <v>2467</v>
      </c>
      <c r="D1278" s="39" t="s">
        <v>102</v>
      </c>
      <c r="E1278" s="48" t="s">
        <v>2399</v>
      </c>
      <c r="F1278" s="49" t="s">
        <v>150</v>
      </c>
      <c r="G1278" s="39" t="s">
        <v>2844</v>
      </c>
    </row>
    <row r="1279" customFormat="false" ht="18" hidden="false" customHeight="true" outlineLevel="0" collapsed="false">
      <c r="A1279" s="47" t="n">
        <v>1278</v>
      </c>
      <c r="B1279" s="39" t="s">
        <v>698</v>
      </c>
      <c r="C1279" s="39" t="s">
        <v>2467</v>
      </c>
      <c r="D1279" s="39" t="s">
        <v>77</v>
      </c>
      <c r="E1279" s="48" t="s">
        <v>1330</v>
      </c>
      <c r="F1279" s="49" t="s">
        <v>80</v>
      </c>
      <c r="G1279" s="39" t="s">
        <v>2863</v>
      </c>
    </row>
    <row r="1280" customFormat="false" ht="18" hidden="false" customHeight="true" outlineLevel="0" collapsed="false">
      <c r="A1280" s="47" t="n">
        <v>1279</v>
      </c>
      <c r="B1280" s="39" t="s">
        <v>698</v>
      </c>
      <c r="C1280" s="39" t="s">
        <v>2467</v>
      </c>
      <c r="D1280" s="39" t="s">
        <v>2845</v>
      </c>
      <c r="E1280" s="48" t="s">
        <v>2471</v>
      </c>
      <c r="F1280" s="49" t="s">
        <v>3349</v>
      </c>
      <c r="G1280" s="39" t="s">
        <v>3315</v>
      </c>
    </row>
    <row r="1281" customFormat="false" ht="18" hidden="false" customHeight="true" outlineLevel="0" collapsed="false">
      <c r="A1281" s="47" t="n">
        <v>1280</v>
      </c>
      <c r="B1281" s="39" t="s">
        <v>698</v>
      </c>
      <c r="C1281" s="39" t="s">
        <v>2467</v>
      </c>
      <c r="D1281" s="39" t="s">
        <v>2848</v>
      </c>
      <c r="E1281" s="48" t="s">
        <v>2472</v>
      </c>
      <c r="F1281" s="49" t="s">
        <v>3350</v>
      </c>
      <c r="G1281" s="39" t="s">
        <v>3315</v>
      </c>
    </row>
    <row r="1282" customFormat="false" ht="18" hidden="false" customHeight="true" outlineLevel="0" collapsed="false">
      <c r="A1282" s="47" t="n">
        <v>1281</v>
      </c>
      <c r="B1282" s="39" t="s">
        <v>698</v>
      </c>
      <c r="C1282" s="39" t="s">
        <v>2467</v>
      </c>
      <c r="D1282" s="39" t="s">
        <v>109</v>
      </c>
      <c r="E1282" s="48" t="s">
        <v>1851</v>
      </c>
      <c r="F1282" s="49" t="s">
        <v>151</v>
      </c>
      <c r="G1282" s="39" t="s">
        <v>2853</v>
      </c>
    </row>
    <row r="1283" customFormat="false" ht="18" hidden="false" customHeight="true" outlineLevel="0" collapsed="false">
      <c r="A1283" s="47" t="n">
        <v>1282</v>
      </c>
      <c r="B1283" s="39" t="s">
        <v>889</v>
      </c>
      <c r="C1283" s="39" t="s">
        <v>2474</v>
      </c>
      <c r="D1283" s="39" t="s">
        <v>2840</v>
      </c>
      <c r="E1283" s="48" t="s">
        <v>2475</v>
      </c>
      <c r="F1283" s="49" t="s">
        <v>3351</v>
      </c>
      <c r="G1283" s="39" t="s">
        <v>2898</v>
      </c>
    </row>
    <row r="1284" customFormat="false" ht="18" hidden="false" customHeight="true" outlineLevel="0" collapsed="false">
      <c r="A1284" s="47" t="n">
        <v>1283</v>
      </c>
      <c r="B1284" s="39" t="s">
        <v>889</v>
      </c>
      <c r="C1284" s="39" t="s">
        <v>2474</v>
      </c>
      <c r="D1284" s="39" t="s">
        <v>101</v>
      </c>
      <c r="E1284" s="48" t="s">
        <v>2476</v>
      </c>
      <c r="F1284" s="49" t="s">
        <v>888</v>
      </c>
      <c r="G1284" s="39" t="s">
        <v>2843</v>
      </c>
    </row>
    <row r="1285" customFormat="false" ht="18" hidden="false" customHeight="true" outlineLevel="0" collapsed="false">
      <c r="A1285" s="47" t="n">
        <v>1284</v>
      </c>
      <c r="B1285" s="39" t="s">
        <v>889</v>
      </c>
      <c r="C1285" s="39" t="s">
        <v>2474</v>
      </c>
      <c r="D1285" s="39" t="s">
        <v>2845</v>
      </c>
      <c r="E1285" s="48" t="s">
        <v>2477</v>
      </c>
      <c r="F1285" s="49" t="s">
        <v>3352</v>
      </c>
      <c r="G1285" s="39" t="s">
        <v>3315</v>
      </c>
    </row>
    <row r="1286" customFormat="false" ht="18" hidden="false" customHeight="true" outlineLevel="0" collapsed="false">
      <c r="A1286" s="47" t="n">
        <v>1285</v>
      </c>
      <c r="B1286" s="39" t="s">
        <v>889</v>
      </c>
      <c r="C1286" s="39" t="s">
        <v>2474</v>
      </c>
      <c r="D1286" s="39" t="s">
        <v>2848</v>
      </c>
      <c r="E1286" s="48" t="s">
        <v>2478</v>
      </c>
      <c r="F1286" s="49" t="s">
        <v>3353</v>
      </c>
      <c r="G1286" s="39" t="s">
        <v>3315</v>
      </c>
    </row>
    <row r="1287" customFormat="false" ht="18" hidden="false" customHeight="true" outlineLevel="0" collapsed="false">
      <c r="A1287" s="47" t="n">
        <v>1286</v>
      </c>
      <c r="B1287" s="39" t="s">
        <v>889</v>
      </c>
      <c r="C1287" s="39" t="s">
        <v>2474</v>
      </c>
      <c r="D1287" s="39" t="s">
        <v>2850</v>
      </c>
      <c r="E1287" s="48" t="s">
        <v>2479</v>
      </c>
      <c r="F1287" s="49" t="s">
        <v>3354</v>
      </c>
      <c r="G1287" s="39" t="s">
        <v>2852</v>
      </c>
    </row>
    <row r="1288" customFormat="false" ht="18" hidden="false" customHeight="true" outlineLevel="0" collapsed="false">
      <c r="A1288" s="47" t="n">
        <v>1287</v>
      </c>
      <c r="B1288" s="39" t="s">
        <v>889</v>
      </c>
      <c r="C1288" s="39" t="s">
        <v>2474</v>
      </c>
      <c r="D1288" s="39" t="s">
        <v>109</v>
      </c>
      <c r="E1288" s="48" t="s">
        <v>1851</v>
      </c>
      <c r="F1288" s="49" t="s">
        <v>151</v>
      </c>
      <c r="G1288" s="39" t="s">
        <v>2853</v>
      </c>
    </row>
    <row r="1289" customFormat="false" ht="18" hidden="false" customHeight="true" outlineLevel="0" collapsed="false">
      <c r="A1289" s="47" t="n">
        <v>1288</v>
      </c>
      <c r="B1289" s="39" t="s">
        <v>2480</v>
      </c>
      <c r="C1289" s="39" t="s">
        <v>2481</v>
      </c>
      <c r="D1289" s="39" t="s">
        <v>100</v>
      </c>
      <c r="E1289" s="48" t="s">
        <v>2482</v>
      </c>
      <c r="F1289" s="49" t="s">
        <v>652</v>
      </c>
      <c r="G1289" s="39" t="s">
        <v>2870</v>
      </c>
    </row>
    <row r="1290" customFormat="false" ht="18" hidden="false" customHeight="true" outlineLevel="0" collapsed="false">
      <c r="A1290" s="47" t="n">
        <v>1289</v>
      </c>
      <c r="B1290" s="39" t="s">
        <v>2480</v>
      </c>
      <c r="C1290" s="39" t="s">
        <v>2481</v>
      </c>
      <c r="D1290" s="39" t="s">
        <v>101</v>
      </c>
      <c r="E1290" s="48" t="s">
        <v>1705</v>
      </c>
      <c r="F1290" s="49" t="s">
        <v>653</v>
      </c>
      <c r="G1290" s="39" t="s">
        <v>2843</v>
      </c>
    </row>
    <row r="1291" customFormat="false" ht="18" hidden="false" customHeight="true" outlineLevel="0" collapsed="false">
      <c r="A1291" s="47" t="n">
        <v>1290</v>
      </c>
      <c r="B1291" s="39" t="s">
        <v>2480</v>
      </c>
      <c r="C1291" s="39" t="s">
        <v>2481</v>
      </c>
      <c r="D1291" s="39" t="s">
        <v>2845</v>
      </c>
      <c r="E1291" s="48" t="s">
        <v>2483</v>
      </c>
      <c r="F1291" s="49" t="s">
        <v>3355</v>
      </c>
      <c r="G1291" s="39" t="s">
        <v>3315</v>
      </c>
    </row>
    <row r="1292" customFormat="false" ht="18" hidden="false" customHeight="true" outlineLevel="0" collapsed="false">
      <c r="A1292" s="47" t="n">
        <v>1291</v>
      </c>
      <c r="B1292" s="39" t="s">
        <v>2480</v>
      </c>
      <c r="C1292" s="39" t="s">
        <v>2481</v>
      </c>
      <c r="D1292" s="39" t="s">
        <v>2848</v>
      </c>
      <c r="E1292" s="48" t="s">
        <v>2484</v>
      </c>
      <c r="F1292" s="49" t="s">
        <v>3356</v>
      </c>
      <c r="G1292" s="39" t="s">
        <v>3315</v>
      </c>
    </row>
    <row r="1293" customFormat="false" ht="18" hidden="false" customHeight="true" outlineLevel="0" collapsed="false">
      <c r="A1293" s="47" t="n">
        <v>1292</v>
      </c>
      <c r="B1293" s="39" t="s">
        <v>2480</v>
      </c>
      <c r="C1293" s="39" t="s">
        <v>2481</v>
      </c>
      <c r="D1293" s="39" t="s">
        <v>2850</v>
      </c>
      <c r="E1293" s="48" t="s">
        <v>2485</v>
      </c>
      <c r="F1293" s="49" t="s">
        <v>3357</v>
      </c>
      <c r="G1293" s="39" t="s">
        <v>2852</v>
      </c>
    </row>
    <row r="1294" customFormat="false" ht="18" hidden="false" customHeight="true" outlineLevel="0" collapsed="false">
      <c r="A1294" s="47" t="n">
        <v>1293</v>
      </c>
      <c r="B1294" s="39" t="s">
        <v>2480</v>
      </c>
      <c r="C1294" s="39" t="s">
        <v>2481</v>
      </c>
      <c r="D1294" s="39" t="s">
        <v>109</v>
      </c>
      <c r="E1294" s="48" t="s">
        <v>1851</v>
      </c>
      <c r="F1294" s="49" t="s">
        <v>151</v>
      </c>
      <c r="G1294" s="39" t="s">
        <v>2853</v>
      </c>
    </row>
    <row r="1295" customFormat="false" ht="18" hidden="false" customHeight="true" outlineLevel="0" collapsed="false">
      <c r="A1295" s="47" t="n">
        <v>1294</v>
      </c>
      <c r="B1295" s="39" t="s">
        <v>1018</v>
      </c>
      <c r="C1295" s="39" t="s">
        <v>2486</v>
      </c>
      <c r="D1295" s="39" t="s">
        <v>2840</v>
      </c>
      <c r="E1295" s="48" t="s">
        <v>2487</v>
      </c>
      <c r="F1295" s="49" t="s">
        <v>3358</v>
      </c>
      <c r="G1295" s="39" t="s">
        <v>2898</v>
      </c>
    </row>
    <row r="1296" customFormat="false" ht="18" hidden="false" customHeight="true" outlineLevel="0" collapsed="false">
      <c r="A1296" s="47" t="n">
        <v>1295</v>
      </c>
      <c r="B1296" s="39" t="s">
        <v>1018</v>
      </c>
      <c r="C1296" s="39" t="s">
        <v>2486</v>
      </c>
      <c r="D1296" s="39" t="s">
        <v>101</v>
      </c>
      <c r="E1296" s="48" t="s">
        <v>2488</v>
      </c>
      <c r="F1296" s="49" t="s">
        <v>1017</v>
      </c>
      <c r="G1296" s="39" t="s">
        <v>2843</v>
      </c>
    </row>
    <row r="1297" customFormat="false" ht="18" hidden="false" customHeight="true" outlineLevel="0" collapsed="false">
      <c r="A1297" s="47" t="n">
        <v>1296</v>
      </c>
      <c r="B1297" s="39" t="s">
        <v>1018</v>
      </c>
      <c r="C1297" s="39" t="s">
        <v>2486</v>
      </c>
      <c r="D1297" s="39" t="s">
        <v>77</v>
      </c>
      <c r="E1297" s="48" t="s">
        <v>1236</v>
      </c>
      <c r="F1297" s="49" t="s">
        <v>80</v>
      </c>
      <c r="G1297" s="39" t="s">
        <v>2863</v>
      </c>
    </row>
    <row r="1298" customFormat="false" ht="18" hidden="false" customHeight="true" outlineLevel="0" collapsed="false">
      <c r="A1298" s="47" t="n">
        <v>1297</v>
      </c>
      <c r="B1298" s="39" t="s">
        <v>1018</v>
      </c>
      <c r="C1298" s="39" t="s">
        <v>2486</v>
      </c>
      <c r="D1298" s="39" t="s">
        <v>2845</v>
      </c>
      <c r="E1298" s="48" t="s">
        <v>2489</v>
      </c>
      <c r="F1298" s="49" t="s">
        <v>2967</v>
      </c>
      <c r="G1298" s="39" t="s">
        <v>3315</v>
      </c>
    </row>
    <row r="1299" customFormat="false" ht="18" hidden="false" customHeight="true" outlineLevel="0" collapsed="false">
      <c r="A1299" s="47" t="n">
        <v>1298</v>
      </c>
      <c r="B1299" s="39" t="s">
        <v>1018</v>
      </c>
      <c r="C1299" s="39" t="s">
        <v>2486</v>
      </c>
      <c r="D1299" s="39" t="s">
        <v>2848</v>
      </c>
      <c r="E1299" s="48" t="s">
        <v>2412</v>
      </c>
      <c r="F1299" s="49" t="s">
        <v>3190</v>
      </c>
      <c r="G1299" s="39" t="s">
        <v>3315</v>
      </c>
    </row>
    <row r="1300" customFormat="false" ht="18" hidden="false" customHeight="true" outlineLevel="0" collapsed="false">
      <c r="A1300" s="47" t="n">
        <v>1299</v>
      </c>
      <c r="B1300" s="39" t="s">
        <v>1018</v>
      </c>
      <c r="C1300" s="39" t="s">
        <v>2486</v>
      </c>
      <c r="D1300" s="39" t="s">
        <v>109</v>
      </c>
      <c r="E1300" s="48" t="s">
        <v>2395</v>
      </c>
      <c r="F1300" s="49" t="s">
        <v>130</v>
      </c>
      <c r="G1300" s="39" t="s">
        <v>2853</v>
      </c>
    </row>
    <row r="1301" customFormat="false" ht="18" hidden="false" customHeight="true" outlineLevel="0" collapsed="false">
      <c r="A1301" s="47" t="n">
        <v>1300</v>
      </c>
      <c r="B1301" s="39" t="s">
        <v>1088</v>
      </c>
      <c r="C1301" s="39" t="s">
        <v>2491</v>
      </c>
      <c r="D1301" s="39" t="s">
        <v>101</v>
      </c>
      <c r="E1301" s="48" t="s">
        <v>2493</v>
      </c>
      <c r="F1301" s="49" t="s">
        <v>1087</v>
      </c>
      <c r="G1301" s="39" t="s">
        <v>2843</v>
      </c>
    </row>
    <row r="1302" customFormat="false" ht="18" hidden="false" customHeight="true" outlineLevel="0" collapsed="false">
      <c r="A1302" s="47" t="n">
        <v>1301</v>
      </c>
      <c r="B1302" s="39" t="s">
        <v>1088</v>
      </c>
      <c r="C1302" s="39" t="s">
        <v>2491</v>
      </c>
      <c r="D1302" s="39" t="s">
        <v>2845</v>
      </c>
      <c r="E1302" s="48" t="s">
        <v>2494</v>
      </c>
      <c r="F1302" s="49" t="s">
        <v>3219</v>
      </c>
      <c r="G1302" s="39" t="s">
        <v>3315</v>
      </c>
    </row>
    <row r="1303" customFormat="false" ht="18" hidden="false" customHeight="true" outlineLevel="0" collapsed="false">
      <c r="A1303" s="47" t="n">
        <v>1302</v>
      </c>
      <c r="B1303" s="39" t="s">
        <v>1088</v>
      </c>
      <c r="C1303" s="39" t="s">
        <v>2491</v>
      </c>
      <c r="D1303" s="39" t="s">
        <v>2848</v>
      </c>
      <c r="E1303" s="48" t="s">
        <v>2381</v>
      </c>
      <c r="F1303" s="49" t="s">
        <v>3319</v>
      </c>
      <c r="G1303" s="39" t="s">
        <v>3315</v>
      </c>
    </row>
    <row r="1304" customFormat="false" ht="18" hidden="false" customHeight="true" outlineLevel="0" collapsed="false">
      <c r="A1304" s="47" t="n">
        <v>1303</v>
      </c>
      <c r="B1304" s="39" t="s">
        <v>1088</v>
      </c>
      <c r="C1304" s="39" t="s">
        <v>2491</v>
      </c>
      <c r="D1304" s="39" t="s">
        <v>109</v>
      </c>
      <c r="E1304" s="48" t="s">
        <v>1140</v>
      </c>
      <c r="F1304" s="49" t="s">
        <v>151</v>
      </c>
      <c r="G1304" s="39" t="s">
        <v>2853</v>
      </c>
    </row>
    <row r="1305" customFormat="false" ht="18" hidden="false" customHeight="true" outlineLevel="0" collapsed="false">
      <c r="A1305" s="47" t="n">
        <v>1304</v>
      </c>
      <c r="B1305" s="39" t="s">
        <v>428</v>
      </c>
      <c r="C1305" s="39" t="s">
        <v>2496</v>
      </c>
      <c r="D1305" s="39" t="s">
        <v>101</v>
      </c>
      <c r="E1305" s="48" t="s">
        <v>2498</v>
      </c>
      <c r="F1305" s="49" t="s">
        <v>427</v>
      </c>
      <c r="G1305" s="39" t="s">
        <v>2843</v>
      </c>
    </row>
    <row r="1306" customFormat="false" ht="18" hidden="false" customHeight="true" outlineLevel="0" collapsed="false">
      <c r="A1306" s="47" t="n">
        <v>1305</v>
      </c>
      <c r="B1306" s="39" t="s">
        <v>428</v>
      </c>
      <c r="C1306" s="39" t="s">
        <v>2496</v>
      </c>
      <c r="D1306" s="39" t="s">
        <v>77</v>
      </c>
      <c r="E1306" s="48" t="s">
        <v>1236</v>
      </c>
      <c r="F1306" s="49" t="s">
        <v>80</v>
      </c>
      <c r="G1306" s="39" t="s">
        <v>2863</v>
      </c>
    </row>
    <row r="1307" customFormat="false" ht="18" hidden="false" customHeight="true" outlineLevel="0" collapsed="false">
      <c r="A1307" s="47" t="n">
        <v>1306</v>
      </c>
      <c r="B1307" s="39" t="s">
        <v>428</v>
      </c>
      <c r="C1307" s="39" t="s">
        <v>2496</v>
      </c>
      <c r="D1307" s="39" t="s">
        <v>2845</v>
      </c>
      <c r="E1307" s="48" t="s">
        <v>2499</v>
      </c>
      <c r="F1307" s="49" t="s">
        <v>3359</v>
      </c>
      <c r="G1307" s="39" t="s">
        <v>3315</v>
      </c>
    </row>
    <row r="1308" customFormat="false" ht="18" hidden="false" customHeight="true" outlineLevel="0" collapsed="false">
      <c r="A1308" s="47" t="n">
        <v>1307</v>
      </c>
      <c r="B1308" s="39" t="s">
        <v>428</v>
      </c>
      <c r="C1308" s="39" t="s">
        <v>2496</v>
      </c>
      <c r="D1308" s="39" t="s">
        <v>2848</v>
      </c>
      <c r="E1308" s="48" t="s">
        <v>2500</v>
      </c>
      <c r="F1308" s="49" t="s">
        <v>3360</v>
      </c>
      <c r="G1308" s="39" t="s">
        <v>3315</v>
      </c>
    </row>
    <row r="1309" customFormat="false" ht="18" hidden="false" customHeight="true" outlineLevel="0" collapsed="false">
      <c r="A1309" s="47" t="n">
        <v>1308</v>
      </c>
      <c r="B1309" s="39" t="s">
        <v>428</v>
      </c>
      <c r="C1309" s="39" t="s">
        <v>2496</v>
      </c>
      <c r="D1309" s="39" t="s">
        <v>109</v>
      </c>
      <c r="E1309" s="48" t="s">
        <v>1140</v>
      </c>
      <c r="F1309" s="49" t="s">
        <v>151</v>
      </c>
      <c r="G1309" s="39" t="s">
        <v>2853</v>
      </c>
    </row>
    <row r="1310" customFormat="false" ht="18" hidden="false" customHeight="true" outlineLevel="0" collapsed="false">
      <c r="A1310" s="47" t="n">
        <v>1309</v>
      </c>
      <c r="B1310" s="39" t="s">
        <v>1029</v>
      </c>
      <c r="C1310" s="39" t="s">
        <v>2502</v>
      </c>
      <c r="D1310" s="39" t="s">
        <v>2840</v>
      </c>
      <c r="E1310" s="48" t="s">
        <v>2503</v>
      </c>
      <c r="F1310" s="49" t="s">
        <v>3361</v>
      </c>
      <c r="G1310" s="39" t="s">
        <v>2898</v>
      </c>
    </row>
    <row r="1311" customFormat="false" ht="18" hidden="false" customHeight="true" outlineLevel="0" collapsed="false">
      <c r="A1311" s="47" t="n">
        <v>1310</v>
      </c>
      <c r="B1311" s="39" t="s">
        <v>1029</v>
      </c>
      <c r="C1311" s="39" t="s">
        <v>2502</v>
      </c>
      <c r="D1311" s="39" t="s">
        <v>100</v>
      </c>
      <c r="E1311" s="48" t="s">
        <v>2504</v>
      </c>
      <c r="F1311" s="49" t="s">
        <v>1027</v>
      </c>
      <c r="G1311" s="39" t="s">
        <v>2870</v>
      </c>
    </row>
    <row r="1312" customFormat="false" ht="18" hidden="false" customHeight="true" outlineLevel="0" collapsed="false">
      <c r="A1312" s="47" t="n">
        <v>1311</v>
      </c>
      <c r="B1312" s="39" t="s">
        <v>1029</v>
      </c>
      <c r="C1312" s="39" t="s">
        <v>2502</v>
      </c>
      <c r="D1312" s="39" t="s">
        <v>101</v>
      </c>
      <c r="E1312" s="48" t="s">
        <v>2505</v>
      </c>
      <c r="F1312" s="49" t="s">
        <v>1028</v>
      </c>
      <c r="G1312" s="39" t="s">
        <v>2843</v>
      </c>
    </row>
    <row r="1313" customFormat="false" ht="18" hidden="false" customHeight="true" outlineLevel="0" collapsed="false">
      <c r="A1313" s="47" t="n">
        <v>1312</v>
      </c>
      <c r="B1313" s="39" t="s">
        <v>1029</v>
      </c>
      <c r="C1313" s="39" t="s">
        <v>2502</v>
      </c>
      <c r="D1313" s="39" t="s">
        <v>102</v>
      </c>
      <c r="E1313" s="48" t="s">
        <v>1201</v>
      </c>
      <c r="F1313" s="49" t="s">
        <v>128</v>
      </c>
      <c r="G1313" s="39" t="s">
        <v>2844</v>
      </c>
    </row>
    <row r="1314" customFormat="false" ht="18" hidden="false" customHeight="true" outlineLevel="0" collapsed="false">
      <c r="A1314" s="47" t="n">
        <v>1313</v>
      </c>
      <c r="B1314" s="39" t="s">
        <v>1029</v>
      </c>
      <c r="C1314" s="39" t="s">
        <v>2502</v>
      </c>
      <c r="D1314" s="39" t="s">
        <v>2845</v>
      </c>
      <c r="E1314" s="48" t="s">
        <v>2506</v>
      </c>
      <c r="F1314" s="49" t="s">
        <v>3362</v>
      </c>
      <c r="G1314" s="39" t="s">
        <v>3315</v>
      </c>
    </row>
    <row r="1315" customFormat="false" ht="18" hidden="false" customHeight="true" outlineLevel="0" collapsed="false">
      <c r="A1315" s="47" t="n">
        <v>1314</v>
      </c>
      <c r="B1315" s="39" t="s">
        <v>1029</v>
      </c>
      <c r="C1315" s="39" t="s">
        <v>2502</v>
      </c>
      <c r="D1315" s="39" t="s">
        <v>2848</v>
      </c>
      <c r="E1315" s="48" t="s">
        <v>2507</v>
      </c>
      <c r="F1315" s="49" t="s">
        <v>3363</v>
      </c>
      <c r="G1315" s="39" t="s">
        <v>3315</v>
      </c>
    </row>
    <row r="1316" customFormat="false" ht="18" hidden="false" customHeight="true" outlineLevel="0" collapsed="false">
      <c r="A1316" s="47" t="n">
        <v>1315</v>
      </c>
      <c r="B1316" s="39" t="s">
        <v>1029</v>
      </c>
      <c r="C1316" s="39" t="s">
        <v>2502</v>
      </c>
      <c r="D1316" s="39" t="s">
        <v>2850</v>
      </c>
      <c r="E1316" s="48" t="s">
        <v>2508</v>
      </c>
      <c r="F1316" s="49" t="s">
        <v>2977</v>
      </c>
      <c r="G1316" s="39" t="s">
        <v>2852</v>
      </c>
    </row>
    <row r="1317" customFormat="false" ht="18" hidden="false" customHeight="true" outlineLevel="0" collapsed="false">
      <c r="A1317" s="47" t="n">
        <v>1316</v>
      </c>
      <c r="B1317" s="39" t="s">
        <v>1029</v>
      </c>
      <c r="C1317" s="39" t="s">
        <v>2502</v>
      </c>
      <c r="D1317" s="39" t="s">
        <v>109</v>
      </c>
      <c r="E1317" s="48" t="s">
        <v>2034</v>
      </c>
      <c r="F1317" s="49" t="s">
        <v>130</v>
      </c>
      <c r="G1317" s="39" t="s">
        <v>2853</v>
      </c>
    </row>
    <row r="1318" customFormat="false" ht="18" hidden="false" customHeight="true" outlineLevel="0" collapsed="false">
      <c r="A1318" s="47" t="n">
        <v>1317</v>
      </c>
      <c r="B1318" s="39" t="s">
        <v>165</v>
      </c>
      <c r="C1318" s="39" t="s">
        <v>2509</v>
      </c>
      <c r="D1318" s="39" t="s">
        <v>100</v>
      </c>
      <c r="E1318" s="48" t="s">
        <v>2511</v>
      </c>
      <c r="F1318" s="49" t="s">
        <v>162</v>
      </c>
      <c r="G1318" s="39" t="s">
        <v>2878</v>
      </c>
    </row>
    <row r="1319" customFormat="false" ht="18" hidden="false" customHeight="true" outlineLevel="0" collapsed="false">
      <c r="A1319" s="47" t="n">
        <v>1318</v>
      </c>
      <c r="B1319" s="39" t="s">
        <v>165</v>
      </c>
      <c r="C1319" s="39" t="s">
        <v>2509</v>
      </c>
      <c r="D1319" s="39" t="s">
        <v>102</v>
      </c>
      <c r="E1319" s="48" t="s">
        <v>2045</v>
      </c>
      <c r="F1319" s="49" t="s">
        <v>163</v>
      </c>
      <c r="G1319" s="39" t="s">
        <v>2844</v>
      </c>
    </row>
    <row r="1320" customFormat="false" ht="18" hidden="false" customHeight="true" outlineLevel="0" collapsed="false">
      <c r="A1320" s="47" t="n">
        <v>1319</v>
      </c>
      <c r="B1320" s="39" t="s">
        <v>165</v>
      </c>
      <c r="C1320" s="39" t="s">
        <v>2509</v>
      </c>
      <c r="D1320" s="39" t="s">
        <v>77</v>
      </c>
      <c r="E1320" s="48" t="s">
        <v>1243</v>
      </c>
      <c r="F1320" s="49" t="s">
        <v>79</v>
      </c>
      <c r="G1320" s="39" t="s">
        <v>2863</v>
      </c>
    </row>
    <row r="1321" customFormat="false" ht="18" hidden="false" customHeight="true" outlineLevel="0" collapsed="false">
      <c r="A1321" s="47" t="n">
        <v>1320</v>
      </c>
      <c r="B1321" s="39" t="s">
        <v>165</v>
      </c>
      <c r="C1321" s="39" t="s">
        <v>2509</v>
      </c>
      <c r="D1321" s="39" t="s">
        <v>2845</v>
      </c>
      <c r="E1321" s="48" t="s">
        <v>2512</v>
      </c>
      <c r="F1321" s="49" t="s">
        <v>3364</v>
      </c>
      <c r="G1321" s="39" t="s">
        <v>3315</v>
      </c>
    </row>
    <row r="1322" customFormat="false" ht="18" hidden="false" customHeight="true" outlineLevel="0" collapsed="false">
      <c r="A1322" s="47" t="n">
        <v>1321</v>
      </c>
      <c r="B1322" s="39" t="s">
        <v>165</v>
      </c>
      <c r="C1322" s="39" t="s">
        <v>2509</v>
      </c>
      <c r="D1322" s="39" t="s">
        <v>2848</v>
      </c>
      <c r="E1322" s="48" t="s">
        <v>2513</v>
      </c>
      <c r="F1322" s="49" t="s">
        <v>3365</v>
      </c>
      <c r="G1322" s="39" t="s">
        <v>3315</v>
      </c>
    </row>
    <row r="1323" customFormat="false" ht="18" hidden="false" customHeight="true" outlineLevel="0" collapsed="false">
      <c r="A1323" s="47" t="n">
        <v>1322</v>
      </c>
      <c r="B1323" s="39" t="s">
        <v>165</v>
      </c>
      <c r="C1323" s="39" t="s">
        <v>2509</v>
      </c>
      <c r="D1323" s="39" t="s">
        <v>2850</v>
      </c>
      <c r="E1323" s="48" t="s">
        <v>2514</v>
      </c>
      <c r="F1323" s="49" t="s">
        <v>3366</v>
      </c>
      <c r="G1323" s="39" t="s">
        <v>2852</v>
      </c>
    </row>
    <row r="1324" customFormat="false" ht="18" hidden="false" customHeight="true" outlineLevel="0" collapsed="false">
      <c r="A1324" s="47" t="n">
        <v>1323</v>
      </c>
      <c r="B1324" s="39" t="s">
        <v>165</v>
      </c>
      <c r="C1324" s="39" t="s">
        <v>2509</v>
      </c>
      <c r="D1324" s="39" t="s">
        <v>109</v>
      </c>
      <c r="E1324" s="48" t="s">
        <v>2395</v>
      </c>
      <c r="F1324" s="49" t="s">
        <v>130</v>
      </c>
      <c r="G1324" s="39" t="s">
        <v>2853</v>
      </c>
    </row>
    <row r="1325" customFormat="false" ht="18" hidden="false" customHeight="true" outlineLevel="0" collapsed="false">
      <c r="A1325" s="47" t="n">
        <v>1324</v>
      </c>
      <c r="B1325" s="39" t="s">
        <v>2515</v>
      </c>
      <c r="C1325" s="39" t="s">
        <v>2516</v>
      </c>
      <c r="D1325" s="39" t="s">
        <v>100</v>
      </c>
      <c r="E1325" s="48" t="s">
        <v>2518</v>
      </c>
      <c r="F1325" s="49" t="s">
        <v>723</v>
      </c>
      <c r="G1325" s="39" t="s">
        <v>2878</v>
      </c>
    </row>
    <row r="1326" customFormat="false" ht="18" hidden="false" customHeight="true" outlineLevel="0" collapsed="false">
      <c r="A1326" s="47" t="n">
        <v>1325</v>
      </c>
      <c r="B1326" s="39" t="s">
        <v>2515</v>
      </c>
      <c r="C1326" s="39" t="s">
        <v>2516</v>
      </c>
      <c r="D1326" s="39" t="s">
        <v>101</v>
      </c>
      <c r="E1326" s="48" t="s">
        <v>2519</v>
      </c>
      <c r="F1326" s="49" t="s">
        <v>724</v>
      </c>
      <c r="G1326" s="39" t="s">
        <v>2843</v>
      </c>
    </row>
    <row r="1327" customFormat="false" ht="18" hidden="false" customHeight="true" outlineLevel="0" collapsed="false">
      <c r="A1327" s="47" t="n">
        <v>1326</v>
      </c>
      <c r="B1327" s="39" t="s">
        <v>2515</v>
      </c>
      <c r="C1327" s="39" t="s">
        <v>2516</v>
      </c>
      <c r="D1327" s="39" t="s">
        <v>77</v>
      </c>
      <c r="E1327" s="48" t="s">
        <v>1137</v>
      </c>
      <c r="F1327" s="49" t="s">
        <v>79</v>
      </c>
      <c r="G1327" s="39" t="s">
        <v>2863</v>
      </c>
    </row>
    <row r="1328" customFormat="false" ht="18" hidden="false" customHeight="true" outlineLevel="0" collapsed="false">
      <c r="A1328" s="47" t="n">
        <v>1327</v>
      </c>
      <c r="B1328" s="39" t="s">
        <v>2515</v>
      </c>
      <c r="C1328" s="39" t="s">
        <v>2516</v>
      </c>
      <c r="D1328" s="39" t="s">
        <v>2845</v>
      </c>
      <c r="E1328" s="48" t="s">
        <v>2520</v>
      </c>
      <c r="F1328" s="49" t="s">
        <v>3367</v>
      </c>
      <c r="G1328" s="39" t="s">
        <v>3315</v>
      </c>
    </row>
    <row r="1329" customFormat="false" ht="18" hidden="false" customHeight="true" outlineLevel="0" collapsed="false">
      <c r="A1329" s="47" t="n">
        <v>1328</v>
      </c>
      <c r="B1329" s="39" t="s">
        <v>2515</v>
      </c>
      <c r="C1329" s="39" t="s">
        <v>2516</v>
      </c>
      <c r="D1329" s="39" t="s">
        <v>2848</v>
      </c>
      <c r="E1329" s="48" t="s">
        <v>2521</v>
      </c>
      <c r="F1329" s="49" t="s">
        <v>3368</v>
      </c>
      <c r="G1329" s="39" t="s">
        <v>3315</v>
      </c>
    </row>
    <row r="1330" customFormat="false" ht="18" hidden="false" customHeight="true" outlineLevel="0" collapsed="false">
      <c r="A1330" s="47" t="n">
        <v>1329</v>
      </c>
      <c r="B1330" s="39" t="s">
        <v>2515</v>
      </c>
      <c r="C1330" s="39" t="s">
        <v>2516</v>
      </c>
      <c r="D1330" s="39" t="s">
        <v>2850</v>
      </c>
      <c r="E1330" s="48" t="s">
        <v>2522</v>
      </c>
      <c r="F1330" s="49" t="s">
        <v>3369</v>
      </c>
      <c r="G1330" s="39" t="s">
        <v>2852</v>
      </c>
    </row>
    <row r="1331" customFormat="false" ht="18" hidden="false" customHeight="true" outlineLevel="0" collapsed="false">
      <c r="A1331" s="47" t="n">
        <v>1330</v>
      </c>
      <c r="B1331" s="39" t="s">
        <v>2515</v>
      </c>
      <c r="C1331" s="39" t="s">
        <v>2516</v>
      </c>
      <c r="D1331" s="39" t="s">
        <v>109</v>
      </c>
      <c r="E1331" s="48" t="s">
        <v>1851</v>
      </c>
      <c r="F1331" s="49" t="s">
        <v>151</v>
      </c>
      <c r="G1331" s="39" t="s">
        <v>2853</v>
      </c>
    </row>
    <row r="1332" customFormat="false" ht="18" hidden="false" customHeight="true" outlineLevel="0" collapsed="false">
      <c r="A1332" s="47" t="n">
        <v>1331</v>
      </c>
      <c r="B1332" s="39" t="s">
        <v>1084</v>
      </c>
      <c r="C1332" s="39" t="s">
        <v>2523</v>
      </c>
      <c r="D1332" s="39" t="s">
        <v>101</v>
      </c>
      <c r="E1332" s="48" t="s">
        <v>2525</v>
      </c>
      <c r="F1332" s="49" t="s">
        <v>1083</v>
      </c>
      <c r="G1332" s="39" t="s">
        <v>2843</v>
      </c>
    </row>
    <row r="1333" customFormat="false" ht="18" hidden="false" customHeight="true" outlineLevel="0" collapsed="false">
      <c r="A1333" s="47" t="n">
        <v>1332</v>
      </c>
      <c r="B1333" s="39" t="s">
        <v>1084</v>
      </c>
      <c r="C1333" s="39" t="s">
        <v>2523</v>
      </c>
      <c r="D1333" s="39" t="s">
        <v>102</v>
      </c>
      <c r="E1333" s="48" t="s">
        <v>1179</v>
      </c>
      <c r="F1333" s="49" t="s">
        <v>150</v>
      </c>
      <c r="G1333" s="39" t="s">
        <v>2844</v>
      </c>
    </row>
    <row r="1334" customFormat="false" ht="18" hidden="false" customHeight="true" outlineLevel="0" collapsed="false">
      <c r="A1334" s="47" t="n">
        <v>1333</v>
      </c>
      <c r="B1334" s="39" t="s">
        <v>1084</v>
      </c>
      <c r="C1334" s="39" t="s">
        <v>2523</v>
      </c>
      <c r="D1334" s="39" t="s">
        <v>2845</v>
      </c>
      <c r="E1334" s="48" t="s">
        <v>2521</v>
      </c>
      <c r="F1334" s="49" t="s">
        <v>3368</v>
      </c>
      <c r="G1334" s="39" t="s">
        <v>3315</v>
      </c>
    </row>
    <row r="1335" customFormat="false" ht="18" hidden="false" customHeight="true" outlineLevel="0" collapsed="false">
      <c r="A1335" s="47" t="n">
        <v>1334</v>
      </c>
      <c r="B1335" s="39" t="s">
        <v>1084</v>
      </c>
      <c r="C1335" s="39" t="s">
        <v>2523</v>
      </c>
      <c r="D1335" s="39" t="s">
        <v>2848</v>
      </c>
      <c r="E1335" s="48" t="s">
        <v>2526</v>
      </c>
      <c r="F1335" s="49" t="s">
        <v>3370</v>
      </c>
      <c r="G1335" s="39" t="s">
        <v>3315</v>
      </c>
    </row>
    <row r="1336" customFormat="false" ht="18" hidden="false" customHeight="true" outlineLevel="0" collapsed="false">
      <c r="A1336" s="47" t="n">
        <v>1335</v>
      </c>
      <c r="B1336" s="39" t="s">
        <v>1084</v>
      </c>
      <c r="C1336" s="39" t="s">
        <v>2523</v>
      </c>
      <c r="D1336" s="39" t="s">
        <v>109</v>
      </c>
      <c r="E1336" s="48" t="s">
        <v>1851</v>
      </c>
      <c r="F1336" s="49" t="s">
        <v>151</v>
      </c>
      <c r="G1336" s="39" t="s">
        <v>2853</v>
      </c>
    </row>
    <row r="1337" customFormat="false" ht="18" hidden="false" customHeight="true" outlineLevel="0" collapsed="false">
      <c r="A1337" s="47" t="n">
        <v>1336</v>
      </c>
      <c r="B1337" s="39" t="s">
        <v>531</v>
      </c>
      <c r="C1337" s="39" t="s">
        <v>2528</v>
      </c>
      <c r="D1337" s="39" t="s">
        <v>101</v>
      </c>
      <c r="E1337" s="48" t="s">
        <v>2530</v>
      </c>
      <c r="F1337" s="49" t="s">
        <v>530</v>
      </c>
      <c r="G1337" s="39" t="s">
        <v>2843</v>
      </c>
    </row>
    <row r="1338" customFormat="false" ht="18" hidden="false" customHeight="true" outlineLevel="0" collapsed="false">
      <c r="A1338" s="47" t="n">
        <v>1337</v>
      </c>
      <c r="B1338" s="39" t="s">
        <v>531</v>
      </c>
      <c r="C1338" s="39" t="s">
        <v>2528</v>
      </c>
      <c r="D1338" s="39" t="s">
        <v>102</v>
      </c>
      <c r="E1338" s="48" t="s">
        <v>1564</v>
      </c>
      <c r="F1338" s="49" t="s">
        <v>120</v>
      </c>
      <c r="G1338" s="39" t="s">
        <v>2844</v>
      </c>
    </row>
    <row r="1339" customFormat="false" ht="18" hidden="false" customHeight="true" outlineLevel="0" collapsed="false">
      <c r="A1339" s="47" t="n">
        <v>1338</v>
      </c>
      <c r="B1339" s="39" t="s">
        <v>531</v>
      </c>
      <c r="C1339" s="39" t="s">
        <v>2528</v>
      </c>
      <c r="D1339" s="39" t="s">
        <v>77</v>
      </c>
      <c r="E1339" s="48" t="s">
        <v>1216</v>
      </c>
      <c r="F1339" s="49" t="s">
        <v>80</v>
      </c>
      <c r="G1339" s="39" t="s">
        <v>2863</v>
      </c>
    </row>
    <row r="1340" customFormat="false" ht="18" hidden="false" customHeight="true" outlineLevel="0" collapsed="false">
      <c r="A1340" s="47" t="n">
        <v>1339</v>
      </c>
      <c r="B1340" s="39" t="s">
        <v>531</v>
      </c>
      <c r="C1340" s="39" t="s">
        <v>2528</v>
      </c>
      <c r="D1340" s="39" t="s">
        <v>2845</v>
      </c>
      <c r="E1340" s="48" t="s">
        <v>2531</v>
      </c>
      <c r="F1340" s="49" t="s">
        <v>3371</v>
      </c>
      <c r="G1340" s="39" t="s">
        <v>3315</v>
      </c>
    </row>
    <row r="1341" customFormat="false" ht="18" hidden="false" customHeight="true" outlineLevel="0" collapsed="false">
      <c r="A1341" s="47" t="n">
        <v>1340</v>
      </c>
      <c r="B1341" s="39" t="s">
        <v>531</v>
      </c>
      <c r="C1341" s="39" t="s">
        <v>2528</v>
      </c>
      <c r="D1341" s="39" t="s">
        <v>2848</v>
      </c>
      <c r="E1341" s="48" t="s">
        <v>2526</v>
      </c>
      <c r="F1341" s="49" t="s">
        <v>3370</v>
      </c>
      <c r="G1341" s="39" t="s">
        <v>3315</v>
      </c>
    </row>
    <row r="1342" customFormat="false" ht="18" hidden="false" customHeight="true" outlineLevel="0" collapsed="false">
      <c r="A1342" s="47" t="n">
        <v>1341</v>
      </c>
      <c r="B1342" s="39" t="s">
        <v>531</v>
      </c>
      <c r="C1342" s="39" t="s">
        <v>2528</v>
      </c>
      <c r="D1342" s="39" t="s">
        <v>109</v>
      </c>
      <c r="E1342" s="48" t="s">
        <v>1851</v>
      </c>
      <c r="F1342" s="49" t="s">
        <v>151</v>
      </c>
      <c r="G1342" s="39" t="s">
        <v>2853</v>
      </c>
    </row>
    <row r="1343" customFormat="false" ht="18" hidden="false" customHeight="true" outlineLevel="0" collapsed="false">
      <c r="A1343" s="47" t="n">
        <v>1342</v>
      </c>
      <c r="B1343" s="39" t="s">
        <v>2533</v>
      </c>
      <c r="C1343" s="39" t="s">
        <v>2534</v>
      </c>
      <c r="D1343" s="39" t="s">
        <v>101</v>
      </c>
      <c r="E1343" s="48" t="s">
        <v>2535</v>
      </c>
      <c r="F1343" s="49" t="s">
        <v>649</v>
      </c>
      <c r="G1343" s="39" t="s">
        <v>2843</v>
      </c>
    </row>
    <row r="1344" customFormat="false" ht="18" hidden="false" customHeight="true" outlineLevel="0" collapsed="false">
      <c r="A1344" s="47" t="n">
        <v>1343</v>
      </c>
      <c r="B1344" s="39" t="s">
        <v>2533</v>
      </c>
      <c r="C1344" s="39" t="s">
        <v>2534</v>
      </c>
      <c r="D1344" s="39" t="s">
        <v>77</v>
      </c>
      <c r="E1344" s="48" t="s">
        <v>1173</v>
      </c>
      <c r="F1344" s="49" t="s">
        <v>79</v>
      </c>
      <c r="G1344" s="39" t="s">
        <v>2863</v>
      </c>
    </row>
    <row r="1345" customFormat="false" ht="18" hidden="false" customHeight="true" outlineLevel="0" collapsed="false">
      <c r="A1345" s="47" t="n">
        <v>1344</v>
      </c>
      <c r="B1345" s="39" t="s">
        <v>2533</v>
      </c>
      <c r="C1345" s="39" t="s">
        <v>2534</v>
      </c>
      <c r="D1345" s="39" t="s">
        <v>2845</v>
      </c>
      <c r="E1345" s="48" t="s">
        <v>2536</v>
      </c>
      <c r="F1345" s="49" t="s">
        <v>3153</v>
      </c>
      <c r="G1345" s="39" t="s">
        <v>3315</v>
      </c>
    </row>
    <row r="1346" customFormat="false" ht="18" hidden="false" customHeight="true" outlineLevel="0" collapsed="false">
      <c r="A1346" s="47" t="n">
        <v>1345</v>
      </c>
      <c r="B1346" s="39" t="s">
        <v>2533</v>
      </c>
      <c r="C1346" s="39" t="s">
        <v>2534</v>
      </c>
      <c r="D1346" s="39" t="s">
        <v>2848</v>
      </c>
      <c r="E1346" s="48" t="s">
        <v>2537</v>
      </c>
      <c r="F1346" s="49" t="s">
        <v>2245</v>
      </c>
      <c r="G1346" s="39" t="s">
        <v>3315</v>
      </c>
    </row>
    <row r="1347" customFormat="false" ht="18" hidden="false" customHeight="true" outlineLevel="0" collapsed="false">
      <c r="A1347" s="47" t="n">
        <v>1346</v>
      </c>
      <c r="B1347" s="39" t="s">
        <v>2533</v>
      </c>
      <c r="C1347" s="39" t="s">
        <v>2534</v>
      </c>
      <c r="D1347" s="39" t="s">
        <v>2850</v>
      </c>
      <c r="E1347" s="48" t="s">
        <v>2538</v>
      </c>
      <c r="F1347" s="49" t="s">
        <v>2608</v>
      </c>
      <c r="G1347" s="39" t="s">
        <v>2852</v>
      </c>
    </row>
    <row r="1348" customFormat="false" ht="18" hidden="false" customHeight="true" outlineLevel="0" collapsed="false">
      <c r="A1348" s="47" t="n">
        <v>1347</v>
      </c>
      <c r="B1348" s="39" t="s">
        <v>2533</v>
      </c>
      <c r="C1348" s="39" t="s">
        <v>2534</v>
      </c>
      <c r="D1348" s="39" t="s">
        <v>109</v>
      </c>
      <c r="E1348" s="48" t="s">
        <v>1851</v>
      </c>
      <c r="F1348" s="49" t="s">
        <v>151</v>
      </c>
      <c r="G1348" s="39" t="s">
        <v>2853</v>
      </c>
    </row>
    <row r="1349" customFormat="false" ht="18" hidden="false" customHeight="true" outlineLevel="0" collapsed="false">
      <c r="A1349" s="47" t="n">
        <v>1348</v>
      </c>
      <c r="B1349" s="39" t="s">
        <v>1002</v>
      </c>
      <c r="C1349" s="39" t="s">
        <v>2539</v>
      </c>
      <c r="D1349" s="39" t="s">
        <v>101</v>
      </c>
      <c r="E1349" s="48" t="s">
        <v>2541</v>
      </c>
      <c r="F1349" s="49" t="s">
        <v>1001</v>
      </c>
      <c r="G1349" s="39" t="s">
        <v>2843</v>
      </c>
    </row>
    <row r="1350" customFormat="false" ht="18" hidden="false" customHeight="true" outlineLevel="0" collapsed="false">
      <c r="A1350" s="47" t="n">
        <v>1349</v>
      </c>
      <c r="B1350" s="39" t="s">
        <v>1002</v>
      </c>
      <c r="C1350" s="39" t="s">
        <v>2539</v>
      </c>
      <c r="D1350" s="39" t="s">
        <v>2845</v>
      </c>
      <c r="E1350" s="48" t="s">
        <v>2542</v>
      </c>
      <c r="F1350" s="49" t="s">
        <v>2849</v>
      </c>
      <c r="G1350" s="39" t="s">
        <v>3315</v>
      </c>
    </row>
    <row r="1351" customFormat="false" ht="18" hidden="false" customHeight="true" outlineLevel="0" collapsed="false">
      <c r="A1351" s="47" t="n">
        <v>1350</v>
      </c>
      <c r="B1351" s="39" t="s">
        <v>1002</v>
      </c>
      <c r="C1351" s="39" t="s">
        <v>2539</v>
      </c>
      <c r="D1351" s="39" t="s">
        <v>2848</v>
      </c>
      <c r="E1351" s="48" t="s">
        <v>2542</v>
      </c>
      <c r="F1351" s="49" t="s">
        <v>2849</v>
      </c>
      <c r="G1351" s="39" t="s">
        <v>3315</v>
      </c>
    </row>
    <row r="1352" customFormat="false" ht="18" hidden="false" customHeight="true" outlineLevel="0" collapsed="false">
      <c r="A1352" s="47" t="n">
        <v>1351</v>
      </c>
      <c r="B1352" s="39" t="s">
        <v>1002</v>
      </c>
      <c r="C1352" s="39" t="s">
        <v>2539</v>
      </c>
      <c r="D1352" s="39" t="s">
        <v>2850</v>
      </c>
      <c r="E1352" s="48" t="s">
        <v>2543</v>
      </c>
      <c r="F1352" s="49" t="s">
        <v>3372</v>
      </c>
      <c r="G1352" s="39" t="s">
        <v>2852</v>
      </c>
    </row>
    <row r="1353" customFormat="false" ht="18" hidden="false" customHeight="true" outlineLevel="0" collapsed="false">
      <c r="A1353" s="47" t="n">
        <v>1352</v>
      </c>
      <c r="B1353" s="39" t="s">
        <v>1002</v>
      </c>
      <c r="C1353" s="39" t="s">
        <v>2539</v>
      </c>
      <c r="D1353" s="39" t="s">
        <v>109</v>
      </c>
      <c r="E1353" s="48" t="s">
        <v>2395</v>
      </c>
      <c r="F1353" s="49" t="s">
        <v>130</v>
      </c>
      <c r="G1353" s="39" t="s">
        <v>2853</v>
      </c>
    </row>
    <row r="1354" customFormat="false" ht="18" hidden="false" customHeight="true" outlineLevel="0" collapsed="false">
      <c r="A1354" s="47" t="n">
        <v>1353</v>
      </c>
      <c r="B1354" s="39" t="s">
        <v>2544</v>
      </c>
      <c r="C1354" s="39" t="s">
        <v>2545</v>
      </c>
      <c r="D1354" s="39" t="s">
        <v>100</v>
      </c>
      <c r="E1354" s="48" t="s">
        <v>2546</v>
      </c>
      <c r="F1354" s="49" t="s">
        <v>938</v>
      </c>
      <c r="G1354" s="39" t="s">
        <v>2878</v>
      </c>
    </row>
    <row r="1355" customFormat="false" ht="18" hidden="false" customHeight="true" outlineLevel="0" collapsed="false">
      <c r="A1355" s="47" t="n">
        <v>1354</v>
      </c>
      <c r="B1355" s="39" t="s">
        <v>2544</v>
      </c>
      <c r="C1355" s="39" t="s">
        <v>2545</v>
      </c>
      <c r="D1355" s="39" t="s">
        <v>101</v>
      </c>
      <c r="E1355" s="48" t="s">
        <v>2547</v>
      </c>
      <c r="F1355" s="49" t="s">
        <v>939</v>
      </c>
      <c r="G1355" s="39" t="s">
        <v>2843</v>
      </c>
    </row>
    <row r="1356" customFormat="false" ht="18" hidden="false" customHeight="true" outlineLevel="0" collapsed="false">
      <c r="A1356" s="47" t="n">
        <v>1355</v>
      </c>
      <c r="B1356" s="39" t="s">
        <v>2544</v>
      </c>
      <c r="C1356" s="39" t="s">
        <v>2545</v>
      </c>
      <c r="D1356" s="39" t="s">
        <v>102</v>
      </c>
      <c r="E1356" s="48" t="s">
        <v>1695</v>
      </c>
      <c r="F1356" s="49" t="s">
        <v>170</v>
      </c>
      <c r="G1356" s="39" t="s">
        <v>2844</v>
      </c>
    </row>
    <row r="1357" customFormat="false" ht="18" hidden="false" customHeight="true" outlineLevel="0" collapsed="false">
      <c r="A1357" s="47" t="n">
        <v>1356</v>
      </c>
      <c r="B1357" s="39" t="s">
        <v>2544</v>
      </c>
      <c r="C1357" s="39" t="s">
        <v>2545</v>
      </c>
      <c r="D1357" s="39" t="s">
        <v>2845</v>
      </c>
      <c r="E1357" s="48" t="s">
        <v>2548</v>
      </c>
      <c r="F1357" s="49" t="s">
        <v>3373</v>
      </c>
      <c r="G1357" s="39" t="s">
        <v>3315</v>
      </c>
    </row>
    <row r="1358" customFormat="false" ht="18" hidden="false" customHeight="true" outlineLevel="0" collapsed="false">
      <c r="A1358" s="47" t="n">
        <v>1357</v>
      </c>
      <c r="B1358" s="39" t="s">
        <v>2544</v>
      </c>
      <c r="C1358" s="39" t="s">
        <v>2545</v>
      </c>
      <c r="D1358" s="39" t="s">
        <v>2848</v>
      </c>
      <c r="E1358" s="48" t="s">
        <v>2549</v>
      </c>
      <c r="F1358" s="49" t="s">
        <v>3374</v>
      </c>
      <c r="G1358" s="39" t="s">
        <v>3315</v>
      </c>
    </row>
    <row r="1359" customFormat="false" ht="18" hidden="false" customHeight="true" outlineLevel="0" collapsed="false">
      <c r="A1359" s="47" t="n">
        <v>1358</v>
      </c>
      <c r="B1359" s="39" t="s">
        <v>2544</v>
      </c>
      <c r="C1359" s="39" t="s">
        <v>2545</v>
      </c>
      <c r="D1359" s="39" t="s">
        <v>109</v>
      </c>
      <c r="E1359" s="48" t="s">
        <v>1140</v>
      </c>
      <c r="F1359" s="49" t="s">
        <v>151</v>
      </c>
      <c r="G1359" s="39" t="s">
        <v>2853</v>
      </c>
    </row>
    <row r="1360" customFormat="false" ht="18" hidden="false" customHeight="true" outlineLevel="0" collapsed="false">
      <c r="A1360" s="47" t="n">
        <v>1359</v>
      </c>
      <c r="B1360" s="39" t="s">
        <v>948</v>
      </c>
      <c r="C1360" s="39" t="s">
        <v>2551</v>
      </c>
      <c r="D1360" s="39" t="s">
        <v>100</v>
      </c>
      <c r="E1360" s="48" t="s">
        <v>2553</v>
      </c>
      <c r="F1360" s="49" t="s">
        <v>946</v>
      </c>
      <c r="G1360" s="39" t="s">
        <v>2878</v>
      </c>
    </row>
    <row r="1361" customFormat="false" ht="18" hidden="false" customHeight="true" outlineLevel="0" collapsed="false">
      <c r="A1361" s="47" t="n">
        <v>1360</v>
      </c>
      <c r="B1361" s="39" t="s">
        <v>948</v>
      </c>
      <c r="C1361" s="39" t="s">
        <v>2551</v>
      </c>
      <c r="D1361" s="39" t="s">
        <v>101</v>
      </c>
      <c r="E1361" s="48" t="s">
        <v>2554</v>
      </c>
      <c r="F1361" s="49" t="s">
        <v>947</v>
      </c>
      <c r="G1361" s="39" t="s">
        <v>2843</v>
      </c>
    </row>
    <row r="1362" customFormat="false" ht="18" hidden="false" customHeight="true" outlineLevel="0" collapsed="false">
      <c r="A1362" s="47" t="n">
        <v>1361</v>
      </c>
      <c r="B1362" s="39" t="s">
        <v>948</v>
      </c>
      <c r="C1362" s="39" t="s">
        <v>2551</v>
      </c>
      <c r="D1362" s="39" t="s">
        <v>102</v>
      </c>
      <c r="E1362" s="48" t="s">
        <v>2399</v>
      </c>
      <c r="F1362" s="49" t="s">
        <v>150</v>
      </c>
      <c r="G1362" s="39" t="s">
        <v>2844</v>
      </c>
    </row>
    <row r="1363" customFormat="false" ht="18" hidden="false" customHeight="true" outlineLevel="0" collapsed="false">
      <c r="A1363" s="47" t="n">
        <v>1362</v>
      </c>
      <c r="B1363" s="39" t="s">
        <v>948</v>
      </c>
      <c r="C1363" s="39" t="s">
        <v>2551</v>
      </c>
      <c r="D1363" s="39" t="s">
        <v>2845</v>
      </c>
      <c r="E1363" s="48" t="s">
        <v>2555</v>
      </c>
      <c r="F1363" s="49" t="s">
        <v>3375</v>
      </c>
      <c r="G1363" s="39" t="s">
        <v>3315</v>
      </c>
    </row>
    <row r="1364" customFormat="false" ht="18" hidden="false" customHeight="true" outlineLevel="0" collapsed="false">
      <c r="A1364" s="47" t="n">
        <v>1363</v>
      </c>
      <c r="B1364" s="39" t="s">
        <v>948</v>
      </c>
      <c r="C1364" s="39" t="s">
        <v>2551</v>
      </c>
      <c r="D1364" s="39" t="s">
        <v>2848</v>
      </c>
      <c r="E1364" s="48" t="s">
        <v>2556</v>
      </c>
      <c r="F1364" s="49" t="s">
        <v>3376</v>
      </c>
      <c r="G1364" s="39" t="s">
        <v>3315</v>
      </c>
    </row>
    <row r="1365" customFormat="false" ht="18" hidden="false" customHeight="true" outlineLevel="0" collapsed="false">
      <c r="A1365" s="47" t="n">
        <v>1364</v>
      </c>
      <c r="B1365" s="39" t="s">
        <v>948</v>
      </c>
      <c r="C1365" s="39" t="s">
        <v>2551</v>
      </c>
      <c r="D1365" s="39" t="s">
        <v>109</v>
      </c>
      <c r="E1365" s="48" t="s">
        <v>1140</v>
      </c>
      <c r="F1365" s="49" t="s">
        <v>151</v>
      </c>
      <c r="G1365" s="39" t="s">
        <v>2853</v>
      </c>
    </row>
    <row r="1366" customFormat="false" ht="18" hidden="false" customHeight="true" outlineLevel="0" collapsed="false">
      <c r="A1366" s="47" t="n">
        <v>1365</v>
      </c>
      <c r="B1366" s="39" t="s">
        <v>358</v>
      </c>
      <c r="C1366" s="39" t="s">
        <v>2558</v>
      </c>
      <c r="D1366" s="39" t="s">
        <v>100</v>
      </c>
      <c r="E1366" s="48" t="s">
        <v>2560</v>
      </c>
      <c r="F1366" s="49" t="s">
        <v>356</v>
      </c>
      <c r="G1366" s="39" t="s">
        <v>2878</v>
      </c>
    </row>
    <row r="1367" customFormat="false" ht="18" hidden="false" customHeight="true" outlineLevel="0" collapsed="false">
      <c r="A1367" s="47" t="n">
        <v>1366</v>
      </c>
      <c r="B1367" s="39" t="s">
        <v>358</v>
      </c>
      <c r="C1367" s="39" t="s">
        <v>2558</v>
      </c>
      <c r="D1367" s="39" t="s">
        <v>101</v>
      </c>
      <c r="E1367" s="48" t="s">
        <v>2561</v>
      </c>
      <c r="F1367" s="49" t="s">
        <v>357</v>
      </c>
      <c r="G1367" s="39" t="s">
        <v>2843</v>
      </c>
    </row>
    <row r="1368" customFormat="false" ht="18" hidden="false" customHeight="true" outlineLevel="0" collapsed="false">
      <c r="A1368" s="47" t="n">
        <v>1367</v>
      </c>
      <c r="B1368" s="39" t="s">
        <v>358</v>
      </c>
      <c r="C1368" s="39" t="s">
        <v>2558</v>
      </c>
      <c r="D1368" s="39" t="s">
        <v>102</v>
      </c>
      <c r="E1368" s="48" t="s">
        <v>1824</v>
      </c>
      <c r="F1368" s="49" t="s">
        <v>128</v>
      </c>
      <c r="G1368" s="39" t="s">
        <v>2844</v>
      </c>
    </row>
    <row r="1369" customFormat="false" ht="18" hidden="false" customHeight="true" outlineLevel="0" collapsed="false">
      <c r="A1369" s="47" t="n">
        <v>1368</v>
      </c>
      <c r="B1369" s="39" t="s">
        <v>358</v>
      </c>
      <c r="C1369" s="39" t="s">
        <v>2558</v>
      </c>
      <c r="D1369" s="39" t="s">
        <v>2845</v>
      </c>
      <c r="E1369" s="48" t="s">
        <v>2562</v>
      </c>
      <c r="F1369" s="49" t="s">
        <v>3377</v>
      </c>
      <c r="G1369" s="39" t="s">
        <v>3315</v>
      </c>
    </row>
    <row r="1370" customFormat="false" ht="18" hidden="false" customHeight="true" outlineLevel="0" collapsed="false">
      <c r="A1370" s="47" t="n">
        <v>1369</v>
      </c>
      <c r="B1370" s="39" t="s">
        <v>358</v>
      </c>
      <c r="C1370" s="39" t="s">
        <v>2558</v>
      </c>
      <c r="D1370" s="39" t="s">
        <v>2848</v>
      </c>
      <c r="E1370" s="48" t="s">
        <v>2563</v>
      </c>
      <c r="F1370" s="49" t="s">
        <v>3378</v>
      </c>
      <c r="G1370" s="39" t="s">
        <v>3315</v>
      </c>
    </row>
    <row r="1371" customFormat="false" ht="18" hidden="false" customHeight="true" outlineLevel="0" collapsed="false">
      <c r="A1371" s="47" t="n">
        <v>1370</v>
      </c>
      <c r="B1371" s="39" t="s">
        <v>358</v>
      </c>
      <c r="C1371" s="39" t="s">
        <v>2558</v>
      </c>
      <c r="D1371" s="39" t="s">
        <v>2850</v>
      </c>
      <c r="E1371" s="48" t="s">
        <v>2564</v>
      </c>
      <c r="F1371" s="49" t="s">
        <v>3052</v>
      </c>
      <c r="G1371" s="39" t="s">
        <v>2852</v>
      </c>
    </row>
    <row r="1372" customFormat="false" ht="18" hidden="false" customHeight="true" outlineLevel="0" collapsed="false">
      <c r="A1372" s="47" t="n">
        <v>1371</v>
      </c>
      <c r="B1372" s="39" t="s">
        <v>358</v>
      </c>
      <c r="C1372" s="39" t="s">
        <v>2558</v>
      </c>
      <c r="D1372" s="39" t="s">
        <v>109</v>
      </c>
      <c r="E1372" s="48" t="s">
        <v>1851</v>
      </c>
      <c r="F1372" s="49" t="s">
        <v>151</v>
      </c>
      <c r="G1372" s="39" t="s">
        <v>2853</v>
      </c>
    </row>
    <row r="1373" customFormat="false" ht="18" hidden="false" customHeight="true" outlineLevel="0" collapsed="false">
      <c r="A1373" s="47" t="n">
        <v>1372</v>
      </c>
      <c r="B1373" s="39" t="s">
        <v>603</v>
      </c>
      <c r="C1373" s="39" t="s">
        <v>2565</v>
      </c>
      <c r="D1373" s="39" t="s">
        <v>101</v>
      </c>
      <c r="E1373" s="48" t="s">
        <v>2567</v>
      </c>
      <c r="F1373" s="49" t="s">
        <v>602</v>
      </c>
      <c r="G1373" s="39" t="s">
        <v>2843</v>
      </c>
    </row>
    <row r="1374" customFormat="false" ht="18" hidden="false" customHeight="true" outlineLevel="0" collapsed="false">
      <c r="A1374" s="47" t="n">
        <v>1373</v>
      </c>
      <c r="B1374" s="39" t="s">
        <v>603</v>
      </c>
      <c r="C1374" s="39" t="s">
        <v>2565</v>
      </c>
      <c r="D1374" s="39" t="s">
        <v>2845</v>
      </c>
      <c r="E1374" s="48" t="s">
        <v>2568</v>
      </c>
      <c r="F1374" s="49" t="s">
        <v>3379</v>
      </c>
      <c r="G1374" s="39" t="s">
        <v>3315</v>
      </c>
    </row>
    <row r="1375" customFormat="false" ht="18" hidden="false" customHeight="true" outlineLevel="0" collapsed="false">
      <c r="A1375" s="47" t="n">
        <v>1374</v>
      </c>
      <c r="B1375" s="39" t="s">
        <v>603</v>
      </c>
      <c r="C1375" s="39" t="s">
        <v>2565</v>
      </c>
      <c r="D1375" s="39" t="s">
        <v>2848</v>
      </c>
      <c r="E1375" s="48" t="s">
        <v>2569</v>
      </c>
      <c r="F1375" s="49" t="s">
        <v>3380</v>
      </c>
      <c r="G1375" s="39" t="s">
        <v>3315</v>
      </c>
    </row>
    <row r="1376" customFormat="false" ht="18" hidden="false" customHeight="true" outlineLevel="0" collapsed="false">
      <c r="A1376" s="47" t="n">
        <v>1375</v>
      </c>
      <c r="B1376" s="39" t="s">
        <v>603</v>
      </c>
      <c r="C1376" s="39" t="s">
        <v>2565</v>
      </c>
      <c r="D1376" s="39" t="s">
        <v>2850</v>
      </c>
      <c r="E1376" s="48" t="s">
        <v>2570</v>
      </c>
      <c r="F1376" s="49" t="s">
        <v>3381</v>
      </c>
      <c r="G1376" s="39" t="s">
        <v>2852</v>
      </c>
    </row>
    <row r="1377" customFormat="false" ht="18" hidden="false" customHeight="true" outlineLevel="0" collapsed="false">
      <c r="A1377" s="47" t="n">
        <v>1376</v>
      </c>
      <c r="B1377" s="39" t="s">
        <v>603</v>
      </c>
      <c r="C1377" s="39" t="s">
        <v>2565</v>
      </c>
      <c r="D1377" s="39" t="s">
        <v>109</v>
      </c>
      <c r="E1377" s="48" t="s">
        <v>1140</v>
      </c>
      <c r="F1377" s="49" t="s">
        <v>151</v>
      </c>
      <c r="G1377" s="39" t="s">
        <v>2853</v>
      </c>
    </row>
    <row r="1378" customFormat="false" ht="18" hidden="false" customHeight="true" outlineLevel="0" collapsed="false">
      <c r="A1378" s="47" t="n">
        <v>1377</v>
      </c>
      <c r="B1378" s="39" t="s">
        <v>2571</v>
      </c>
      <c r="C1378" s="39" t="s">
        <v>2572</v>
      </c>
      <c r="D1378" s="39" t="s">
        <v>2840</v>
      </c>
      <c r="E1378" s="48" t="s">
        <v>2573</v>
      </c>
      <c r="F1378" s="49" t="s">
        <v>1670</v>
      </c>
      <c r="G1378" s="39" t="s">
        <v>2898</v>
      </c>
    </row>
    <row r="1379" customFormat="false" ht="18" hidden="false" customHeight="true" outlineLevel="0" collapsed="false">
      <c r="A1379" s="47" t="n">
        <v>1378</v>
      </c>
      <c r="B1379" s="39" t="s">
        <v>2571</v>
      </c>
      <c r="C1379" s="39" t="s">
        <v>2572</v>
      </c>
      <c r="D1379" s="39" t="s">
        <v>100</v>
      </c>
      <c r="E1379" s="48" t="s">
        <v>2574</v>
      </c>
      <c r="F1379" s="49" t="s">
        <v>244</v>
      </c>
      <c r="G1379" s="39" t="s">
        <v>2870</v>
      </c>
    </row>
    <row r="1380" customFormat="false" ht="18" hidden="false" customHeight="true" outlineLevel="0" collapsed="false">
      <c r="A1380" s="47" t="n">
        <v>1379</v>
      </c>
      <c r="B1380" s="39" t="s">
        <v>2571</v>
      </c>
      <c r="C1380" s="39" t="s">
        <v>2572</v>
      </c>
      <c r="D1380" s="39" t="s">
        <v>101</v>
      </c>
      <c r="E1380" s="48" t="s">
        <v>2575</v>
      </c>
      <c r="F1380" s="49" t="s">
        <v>245</v>
      </c>
      <c r="G1380" s="39" t="s">
        <v>2843</v>
      </c>
    </row>
    <row r="1381" customFormat="false" ht="18" hidden="false" customHeight="true" outlineLevel="0" collapsed="false">
      <c r="A1381" s="47" t="n">
        <v>1380</v>
      </c>
      <c r="B1381" s="39" t="s">
        <v>2571</v>
      </c>
      <c r="C1381" s="39" t="s">
        <v>2572</v>
      </c>
      <c r="D1381" s="39" t="s">
        <v>2845</v>
      </c>
      <c r="E1381" s="48" t="s">
        <v>2576</v>
      </c>
      <c r="F1381" s="49" t="s">
        <v>3259</v>
      </c>
      <c r="G1381" s="39" t="s">
        <v>3315</v>
      </c>
    </row>
    <row r="1382" customFormat="false" ht="18" hidden="false" customHeight="true" outlineLevel="0" collapsed="false">
      <c r="A1382" s="47" t="n">
        <v>1381</v>
      </c>
      <c r="B1382" s="39" t="s">
        <v>2571</v>
      </c>
      <c r="C1382" s="39" t="s">
        <v>2572</v>
      </c>
      <c r="D1382" s="39" t="s">
        <v>2848</v>
      </c>
      <c r="E1382" s="48" t="s">
        <v>2577</v>
      </c>
      <c r="F1382" s="49" t="s">
        <v>3382</v>
      </c>
      <c r="G1382" s="39" t="s">
        <v>3315</v>
      </c>
    </row>
    <row r="1383" customFormat="false" ht="18" hidden="false" customHeight="true" outlineLevel="0" collapsed="false">
      <c r="A1383" s="47" t="n">
        <v>1382</v>
      </c>
      <c r="B1383" s="39" t="s">
        <v>2571</v>
      </c>
      <c r="C1383" s="39" t="s">
        <v>2572</v>
      </c>
      <c r="D1383" s="39" t="s">
        <v>109</v>
      </c>
      <c r="E1383" s="48" t="s">
        <v>2395</v>
      </c>
      <c r="F1383" s="49" t="s">
        <v>130</v>
      </c>
      <c r="G1383" s="39" t="s">
        <v>2853</v>
      </c>
    </row>
    <row r="1384" customFormat="false" ht="18" hidden="false" customHeight="true" outlineLevel="0" collapsed="false">
      <c r="A1384" s="47" t="n">
        <v>1383</v>
      </c>
      <c r="B1384" s="39" t="s">
        <v>2579</v>
      </c>
      <c r="C1384" s="39" t="s">
        <v>2580</v>
      </c>
      <c r="D1384" s="39" t="s">
        <v>101</v>
      </c>
      <c r="E1384" s="48" t="s">
        <v>2581</v>
      </c>
      <c r="F1384" s="49" t="s">
        <v>467</v>
      </c>
      <c r="G1384" s="39" t="s">
        <v>2843</v>
      </c>
    </row>
    <row r="1385" customFormat="false" ht="18" hidden="false" customHeight="true" outlineLevel="0" collapsed="false">
      <c r="A1385" s="47" t="n">
        <v>1384</v>
      </c>
      <c r="B1385" s="39" t="s">
        <v>2579</v>
      </c>
      <c r="C1385" s="39" t="s">
        <v>2580</v>
      </c>
      <c r="D1385" s="39" t="s">
        <v>77</v>
      </c>
      <c r="E1385" s="48" t="s">
        <v>1173</v>
      </c>
      <c r="F1385" s="49" t="s">
        <v>79</v>
      </c>
      <c r="G1385" s="39" t="s">
        <v>2863</v>
      </c>
    </row>
    <row r="1386" customFormat="false" ht="18" hidden="false" customHeight="true" outlineLevel="0" collapsed="false">
      <c r="A1386" s="47" t="n">
        <v>1385</v>
      </c>
      <c r="B1386" s="39" t="s">
        <v>2579</v>
      </c>
      <c r="C1386" s="39" t="s">
        <v>2580</v>
      </c>
      <c r="D1386" s="39" t="s">
        <v>2845</v>
      </c>
      <c r="E1386" s="48" t="s">
        <v>2582</v>
      </c>
      <c r="F1386" s="49" t="s">
        <v>3383</v>
      </c>
      <c r="G1386" s="39" t="s">
        <v>3315</v>
      </c>
    </row>
    <row r="1387" customFormat="false" ht="18" hidden="false" customHeight="true" outlineLevel="0" collapsed="false">
      <c r="A1387" s="47" t="n">
        <v>1386</v>
      </c>
      <c r="B1387" s="39" t="s">
        <v>2579</v>
      </c>
      <c r="C1387" s="39" t="s">
        <v>2580</v>
      </c>
      <c r="D1387" s="39" t="s">
        <v>2848</v>
      </c>
      <c r="E1387" s="48" t="s">
        <v>2435</v>
      </c>
      <c r="F1387" s="49" t="s">
        <v>3338</v>
      </c>
      <c r="G1387" s="39" t="s">
        <v>3315</v>
      </c>
    </row>
    <row r="1388" customFormat="false" ht="18" hidden="false" customHeight="true" outlineLevel="0" collapsed="false">
      <c r="A1388" s="47" t="n">
        <v>1387</v>
      </c>
      <c r="B1388" s="39" t="s">
        <v>2579</v>
      </c>
      <c r="C1388" s="39" t="s">
        <v>2580</v>
      </c>
      <c r="D1388" s="39" t="s">
        <v>2850</v>
      </c>
      <c r="E1388" s="48" t="s">
        <v>2583</v>
      </c>
      <c r="F1388" s="49" t="s">
        <v>3384</v>
      </c>
      <c r="G1388" s="39" t="s">
        <v>2852</v>
      </c>
    </row>
    <row r="1389" customFormat="false" ht="18" hidden="false" customHeight="true" outlineLevel="0" collapsed="false">
      <c r="A1389" s="47" t="n">
        <v>1388</v>
      </c>
      <c r="B1389" s="39" t="s">
        <v>2579</v>
      </c>
      <c r="C1389" s="39" t="s">
        <v>2580</v>
      </c>
      <c r="D1389" s="39" t="s">
        <v>109</v>
      </c>
      <c r="E1389" s="48" t="s">
        <v>1851</v>
      </c>
      <c r="F1389" s="49" t="s">
        <v>151</v>
      </c>
      <c r="G1389" s="39" t="s">
        <v>2853</v>
      </c>
    </row>
    <row r="1390" customFormat="false" ht="18" hidden="false" customHeight="true" outlineLevel="0" collapsed="false">
      <c r="A1390" s="47" t="n">
        <v>1389</v>
      </c>
      <c r="B1390" s="39" t="s">
        <v>233</v>
      </c>
      <c r="C1390" s="39" t="s">
        <v>2584</v>
      </c>
      <c r="D1390" s="39" t="s">
        <v>101</v>
      </c>
      <c r="E1390" s="48" t="s">
        <v>2586</v>
      </c>
      <c r="F1390" s="49" t="s">
        <v>232</v>
      </c>
      <c r="G1390" s="39" t="s">
        <v>2843</v>
      </c>
    </row>
    <row r="1391" customFormat="false" ht="18" hidden="false" customHeight="true" outlineLevel="0" collapsed="false">
      <c r="A1391" s="47" t="n">
        <v>1390</v>
      </c>
      <c r="B1391" s="39" t="s">
        <v>233</v>
      </c>
      <c r="C1391" s="39" t="s">
        <v>2584</v>
      </c>
      <c r="D1391" s="39" t="s">
        <v>77</v>
      </c>
      <c r="E1391" s="48" t="s">
        <v>1137</v>
      </c>
      <c r="F1391" s="49" t="s">
        <v>79</v>
      </c>
      <c r="G1391" s="39" t="s">
        <v>2863</v>
      </c>
    </row>
    <row r="1392" customFormat="false" ht="18" hidden="false" customHeight="true" outlineLevel="0" collapsed="false">
      <c r="A1392" s="47" t="n">
        <v>1391</v>
      </c>
      <c r="B1392" s="39" t="s">
        <v>233</v>
      </c>
      <c r="C1392" s="39" t="s">
        <v>2584</v>
      </c>
      <c r="D1392" s="39" t="s">
        <v>2845</v>
      </c>
      <c r="E1392" s="48" t="s">
        <v>2587</v>
      </c>
      <c r="F1392" s="49" t="s">
        <v>3385</v>
      </c>
      <c r="G1392" s="39" t="s">
        <v>3315</v>
      </c>
    </row>
    <row r="1393" customFormat="false" ht="18" hidden="false" customHeight="true" outlineLevel="0" collapsed="false">
      <c r="A1393" s="47" t="n">
        <v>1392</v>
      </c>
      <c r="B1393" s="39" t="s">
        <v>233</v>
      </c>
      <c r="C1393" s="39" t="s">
        <v>2584</v>
      </c>
      <c r="D1393" s="39" t="s">
        <v>2848</v>
      </c>
      <c r="E1393" s="48" t="s">
        <v>2588</v>
      </c>
      <c r="F1393" s="49" t="s">
        <v>3386</v>
      </c>
      <c r="G1393" s="39" t="s">
        <v>3315</v>
      </c>
    </row>
    <row r="1394" customFormat="false" ht="18" hidden="false" customHeight="true" outlineLevel="0" collapsed="false">
      <c r="A1394" s="47" t="n">
        <v>1393</v>
      </c>
      <c r="B1394" s="39" t="s">
        <v>233</v>
      </c>
      <c r="C1394" s="39" t="s">
        <v>2584</v>
      </c>
      <c r="D1394" s="39" t="s">
        <v>109</v>
      </c>
      <c r="E1394" s="48" t="s">
        <v>1140</v>
      </c>
      <c r="F1394" s="49" t="s">
        <v>151</v>
      </c>
      <c r="G1394" s="39" t="s">
        <v>2853</v>
      </c>
    </row>
    <row r="1395" customFormat="false" ht="18" hidden="false" customHeight="true" outlineLevel="0" collapsed="false">
      <c r="A1395" s="47" t="n">
        <v>1394</v>
      </c>
      <c r="B1395" s="39" t="s">
        <v>2590</v>
      </c>
      <c r="C1395" s="39" t="s">
        <v>2591</v>
      </c>
      <c r="D1395" s="39" t="s">
        <v>100</v>
      </c>
      <c r="E1395" s="48" t="s">
        <v>2593</v>
      </c>
      <c r="F1395" s="49" t="s">
        <v>472</v>
      </c>
      <c r="G1395" s="39" t="s">
        <v>2878</v>
      </c>
    </row>
    <row r="1396" customFormat="false" ht="18" hidden="false" customHeight="true" outlineLevel="0" collapsed="false">
      <c r="A1396" s="47" t="n">
        <v>1395</v>
      </c>
      <c r="B1396" s="39" t="s">
        <v>2590</v>
      </c>
      <c r="C1396" s="39" t="s">
        <v>2591</v>
      </c>
      <c r="D1396" s="39" t="s">
        <v>101</v>
      </c>
      <c r="E1396" s="48" t="s">
        <v>2594</v>
      </c>
      <c r="F1396" s="49" t="s">
        <v>473</v>
      </c>
      <c r="G1396" s="39" t="s">
        <v>2843</v>
      </c>
    </row>
    <row r="1397" customFormat="false" ht="18" hidden="false" customHeight="true" outlineLevel="0" collapsed="false">
      <c r="A1397" s="47" t="n">
        <v>1396</v>
      </c>
      <c r="B1397" s="39" t="s">
        <v>2590</v>
      </c>
      <c r="C1397" s="39" t="s">
        <v>2591</v>
      </c>
      <c r="D1397" s="39" t="s">
        <v>102</v>
      </c>
      <c r="E1397" s="48" t="s">
        <v>1194</v>
      </c>
      <c r="F1397" s="49" t="s">
        <v>128</v>
      </c>
      <c r="G1397" s="39" t="s">
        <v>2844</v>
      </c>
    </row>
    <row r="1398" customFormat="false" ht="18" hidden="false" customHeight="true" outlineLevel="0" collapsed="false">
      <c r="A1398" s="47" t="n">
        <v>1397</v>
      </c>
      <c r="B1398" s="39" t="s">
        <v>2590</v>
      </c>
      <c r="C1398" s="39" t="s">
        <v>2591</v>
      </c>
      <c r="D1398" s="39" t="s">
        <v>2845</v>
      </c>
      <c r="E1398" s="48" t="s">
        <v>2595</v>
      </c>
      <c r="F1398" s="49" t="s">
        <v>3387</v>
      </c>
      <c r="G1398" s="39" t="s">
        <v>3315</v>
      </c>
    </row>
    <row r="1399" customFormat="false" ht="18" hidden="false" customHeight="true" outlineLevel="0" collapsed="false">
      <c r="A1399" s="47" t="n">
        <v>1398</v>
      </c>
      <c r="B1399" s="39" t="s">
        <v>2590</v>
      </c>
      <c r="C1399" s="39" t="s">
        <v>2591</v>
      </c>
      <c r="D1399" s="39" t="s">
        <v>2848</v>
      </c>
      <c r="E1399" s="48" t="s">
        <v>2556</v>
      </c>
      <c r="F1399" s="49" t="s">
        <v>3376</v>
      </c>
      <c r="G1399" s="39" t="s">
        <v>3315</v>
      </c>
    </row>
    <row r="1400" customFormat="false" ht="18" hidden="false" customHeight="true" outlineLevel="0" collapsed="false">
      <c r="A1400" s="47" t="n">
        <v>1399</v>
      </c>
      <c r="B1400" s="39" t="s">
        <v>2590</v>
      </c>
      <c r="C1400" s="39" t="s">
        <v>2591</v>
      </c>
      <c r="D1400" s="39" t="s">
        <v>2850</v>
      </c>
      <c r="E1400" s="48" t="s">
        <v>2596</v>
      </c>
      <c r="F1400" s="49" t="s">
        <v>3388</v>
      </c>
      <c r="G1400" s="39" t="s">
        <v>2852</v>
      </c>
    </row>
    <row r="1401" customFormat="false" ht="18" hidden="false" customHeight="true" outlineLevel="0" collapsed="false">
      <c r="A1401" s="47" t="n">
        <v>1400</v>
      </c>
      <c r="B1401" s="39" t="s">
        <v>2590</v>
      </c>
      <c r="C1401" s="39" t="s">
        <v>2591</v>
      </c>
      <c r="D1401" s="39" t="s">
        <v>109</v>
      </c>
      <c r="E1401" s="48" t="s">
        <v>2034</v>
      </c>
      <c r="F1401" s="49" t="s">
        <v>130</v>
      </c>
      <c r="G1401" s="39" t="s">
        <v>2853</v>
      </c>
    </row>
    <row r="1402" customFormat="false" ht="18" hidden="false" customHeight="true" outlineLevel="0" collapsed="false">
      <c r="A1402" s="47" t="n">
        <v>1401</v>
      </c>
      <c r="B1402" s="39" t="s">
        <v>2597</v>
      </c>
      <c r="C1402" s="39" t="s">
        <v>2598</v>
      </c>
      <c r="D1402" s="39" t="s">
        <v>2840</v>
      </c>
      <c r="E1402" s="48" t="s">
        <v>2599</v>
      </c>
      <c r="F1402" s="49" t="s">
        <v>3389</v>
      </c>
      <c r="G1402" s="39" t="s">
        <v>2898</v>
      </c>
    </row>
    <row r="1403" customFormat="false" ht="18" hidden="false" customHeight="true" outlineLevel="0" collapsed="false">
      <c r="A1403" s="47" t="n">
        <v>1402</v>
      </c>
      <c r="B1403" s="39" t="s">
        <v>2597</v>
      </c>
      <c r="C1403" s="39" t="s">
        <v>2598</v>
      </c>
      <c r="D1403" s="39" t="s">
        <v>101</v>
      </c>
      <c r="E1403" s="48" t="s">
        <v>2600</v>
      </c>
      <c r="F1403" s="49" t="s">
        <v>520</v>
      </c>
      <c r="G1403" s="39" t="s">
        <v>2843</v>
      </c>
    </row>
    <row r="1404" customFormat="false" ht="18" hidden="false" customHeight="true" outlineLevel="0" collapsed="false">
      <c r="A1404" s="47" t="n">
        <v>1403</v>
      </c>
      <c r="B1404" s="39" t="s">
        <v>2597</v>
      </c>
      <c r="C1404" s="39" t="s">
        <v>2598</v>
      </c>
      <c r="D1404" s="39" t="s">
        <v>102</v>
      </c>
      <c r="E1404" s="48" t="s">
        <v>2157</v>
      </c>
      <c r="F1404" s="49" t="s">
        <v>324</v>
      </c>
      <c r="G1404" s="39" t="s">
        <v>2844</v>
      </c>
    </row>
    <row r="1405" customFormat="false" ht="18" hidden="false" customHeight="true" outlineLevel="0" collapsed="false">
      <c r="A1405" s="47" t="n">
        <v>1404</v>
      </c>
      <c r="B1405" s="39" t="s">
        <v>2597</v>
      </c>
      <c r="C1405" s="39" t="s">
        <v>2598</v>
      </c>
      <c r="D1405" s="39" t="s">
        <v>2845</v>
      </c>
      <c r="E1405" s="48" t="s">
        <v>2601</v>
      </c>
      <c r="F1405" s="49" t="s">
        <v>3390</v>
      </c>
      <c r="G1405" s="39" t="s">
        <v>3315</v>
      </c>
    </row>
    <row r="1406" customFormat="false" ht="18" hidden="false" customHeight="true" outlineLevel="0" collapsed="false">
      <c r="A1406" s="47" t="n">
        <v>1405</v>
      </c>
      <c r="B1406" s="39" t="s">
        <v>2597</v>
      </c>
      <c r="C1406" s="39" t="s">
        <v>2598</v>
      </c>
      <c r="D1406" s="39" t="s">
        <v>2848</v>
      </c>
      <c r="E1406" s="48" t="s">
        <v>2602</v>
      </c>
      <c r="F1406" s="49" t="s">
        <v>3391</v>
      </c>
      <c r="G1406" s="39" t="s">
        <v>3315</v>
      </c>
    </row>
    <row r="1407" customFormat="false" ht="18" hidden="false" customHeight="true" outlineLevel="0" collapsed="false">
      <c r="A1407" s="47" t="n">
        <v>1406</v>
      </c>
      <c r="B1407" s="39" t="s">
        <v>2597</v>
      </c>
      <c r="C1407" s="39" t="s">
        <v>2598</v>
      </c>
      <c r="D1407" s="39" t="s">
        <v>109</v>
      </c>
      <c r="E1407" s="48" t="s">
        <v>1851</v>
      </c>
      <c r="F1407" s="49" t="s">
        <v>151</v>
      </c>
      <c r="G1407" s="39" t="s">
        <v>2853</v>
      </c>
    </row>
    <row r="1408" customFormat="false" ht="18" hidden="false" customHeight="true" outlineLevel="0" collapsed="false">
      <c r="A1408" s="47" t="n">
        <v>1407</v>
      </c>
      <c r="B1408" s="39" t="s">
        <v>2604</v>
      </c>
      <c r="C1408" s="39" t="s">
        <v>2605</v>
      </c>
      <c r="D1408" s="39" t="s">
        <v>2840</v>
      </c>
      <c r="E1408" s="48" t="s">
        <v>1256</v>
      </c>
      <c r="F1408" s="49" t="s">
        <v>2914</v>
      </c>
      <c r="G1408" s="39" t="s">
        <v>2898</v>
      </c>
    </row>
    <row r="1409" customFormat="false" ht="18" hidden="false" customHeight="true" outlineLevel="0" collapsed="false">
      <c r="A1409" s="47" t="n">
        <v>1408</v>
      </c>
      <c r="B1409" s="39" t="s">
        <v>2604</v>
      </c>
      <c r="C1409" s="39" t="s">
        <v>2605</v>
      </c>
      <c r="D1409" s="39" t="s">
        <v>101</v>
      </c>
      <c r="E1409" s="48" t="s">
        <v>2111</v>
      </c>
      <c r="F1409" s="49" t="s">
        <v>805</v>
      </c>
      <c r="G1409" s="39" t="s">
        <v>2843</v>
      </c>
    </row>
    <row r="1410" customFormat="false" ht="18" hidden="false" customHeight="true" outlineLevel="0" collapsed="false">
      <c r="A1410" s="47" t="n">
        <v>1409</v>
      </c>
      <c r="B1410" s="39" t="s">
        <v>2604</v>
      </c>
      <c r="C1410" s="39" t="s">
        <v>2605</v>
      </c>
      <c r="D1410" s="39" t="s">
        <v>2845</v>
      </c>
      <c r="E1410" s="48" t="s">
        <v>2606</v>
      </c>
      <c r="F1410" s="49" t="s">
        <v>3392</v>
      </c>
      <c r="G1410" s="39" t="s">
        <v>3315</v>
      </c>
    </row>
    <row r="1411" customFormat="false" ht="18" hidden="false" customHeight="true" outlineLevel="0" collapsed="false">
      <c r="A1411" s="47" t="n">
        <v>1410</v>
      </c>
      <c r="B1411" s="39" t="s">
        <v>2604</v>
      </c>
      <c r="C1411" s="39" t="s">
        <v>2605</v>
      </c>
      <c r="D1411" s="39" t="s">
        <v>2848</v>
      </c>
      <c r="E1411" s="48" t="s">
        <v>2607</v>
      </c>
      <c r="F1411" s="49" t="s">
        <v>3393</v>
      </c>
      <c r="G1411" s="39" t="s">
        <v>3315</v>
      </c>
    </row>
    <row r="1412" customFormat="false" ht="18" hidden="false" customHeight="true" outlineLevel="0" collapsed="false">
      <c r="A1412" s="47" t="n">
        <v>1411</v>
      </c>
      <c r="B1412" s="39" t="s">
        <v>2604</v>
      </c>
      <c r="C1412" s="39" t="s">
        <v>2605</v>
      </c>
      <c r="D1412" s="39" t="s">
        <v>109</v>
      </c>
      <c r="E1412" s="48" t="s">
        <v>1851</v>
      </c>
      <c r="F1412" s="49" t="s">
        <v>151</v>
      </c>
      <c r="G1412" s="39" t="s">
        <v>2853</v>
      </c>
    </row>
    <row r="1413" customFormat="false" ht="18" hidden="false" customHeight="true" outlineLevel="0" collapsed="false">
      <c r="A1413" s="47" t="n">
        <v>1412</v>
      </c>
      <c r="B1413" s="39" t="s">
        <v>2609</v>
      </c>
      <c r="C1413" s="39" t="s">
        <v>2610</v>
      </c>
      <c r="D1413" s="39" t="s">
        <v>2840</v>
      </c>
      <c r="E1413" s="48" t="s">
        <v>2611</v>
      </c>
      <c r="F1413" s="49" t="s">
        <v>3394</v>
      </c>
      <c r="G1413" s="39" t="s">
        <v>2898</v>
      </c>
    </row>
    <row r="1414" customFormat="false" ht="18" hidden="false" customHeight="true" outlineLevel="0" collapsed="false">
      <c r="A1414" s="47" t="n">
        <v>1413</v>
      </c>
      <c r="B1414" s="39" t="s">
        <v>2609</v>
      </c>
      <c r="C1414" s="39" t="s">
        <v>2610</v>
      </c>
      <c r="D1414" s="39" t="s">
        <v>101</v>
      </c>
      <c r="E1414" s="48" t="s">
        <v>2612</v>
      </c>
      <c r="F1414" s="49" t="s">
        <v>943</v>
      </c>
      <c r="G1414" s="39" t="s">
        <v>2843</v>
      </c>
    </row>
    <row r="1415" customFormat="false" ht="18" hidden="false" customHeight="true" outlineLevel="0" collapsed="false">
      <c r="A1415" s="47" t="n">
        <v>1414</v>
      </c>
      <c r="B1415" s="39" t="s">
        <v>2609</v>
      </c>
      <c r="C1415" s="39" t="s">
        <v>2610</v>
      </c>
      <c r="D1415" s="39" t="s">
        <v>77</v>
      </c>
      <c r="E1415" s="48" t="s">
        <v>1173</v>
      </c>
      <c r="F1415" s="49" t="s">
        <v>79</v>
      </c>
      <c r="G1415" s="39" t="s">
        <v>2863</v>
      </c>
    </row>
    <row r="1416" customFormat="false" ht="18" hidden="false" customHeight="true" outlineLevel="0" collapsed="false">
      <c r="A1416" s="47" t="n">
        <v>1415</v>
      </c>
      <c r="B1416" s="39" t="s">
        <v>2609</v>
      </c>
      <c r="C1416" s="39" t="s">
        <v>2610</v>
      </c>
      <c r="D1416" s="39" t="s">
        <v>2845</v>
      </c>
      <c r="E1416" s="48" t="s">
        <v>2613</v>
      </c>
      <c r="F1416" s="49" t="s">
        <v>3395</v>
      </c>
      <c r="G1416" s="39" t="s">
        <v>3315</v>
      </c>
    </row>
    <row r="1417" customFormat="false" ht="18" hidden="false" customHeight="true" outlineLevel="0" collapsed="false">
      <c r="A1417" s="47" t="n">
        <v>1416</v>
      </c>
      <c r="B1417" s="39" t="s">
        <v>2609</v>
      </c>
      <c r="C1417" s="39" t="s">
        <v>2610</v>
      </c>
      <c r="D1417" s="39" t="s">
        <v>2848</v>
      </c>
      <c r="E1417" s="48" t="s">
        <v>2614</v>
      </c>
      <c r="F1417" s="49" t="s">
        <v>2961</v>
      </c>
      <c r="G1417" s="39" t="s">
        <v>3315</v>
      </c>
    </row>
    <row r="1418" customFormat="false" ht="18" hidden="false" customHeight="true" outlineLevel="0" collapsed="false">
      <c r="A1418" s="47" t="n">
        <v>1417</v>
      </c>
      <c r="B1418" s="39" t="s">
        <v>2609</v>
      </c>
      <c r="C1418" s="39" t="s">
        <v>2610</v>
      </c>
      <c r="D1418" s="39" t="s">
        <v>2850</v>
      </c>
      <c r="E1418" s="48" t="s">
        <v>2615</v>
      </c>
      <c r="F1418" s="49" t="s">
        <v>2376</v>
      </c>
      <c r="G1418" s="39" t="s">
        <v>2852</v>
      </c>
    </row>
    <row r="1419" customFormat="false" ht="18" hidden="false" customHeight="true" outlineLevel="0" collapsed="false">
      <c r="A1419" s="47" t="n">
        <v>1418</v>
      </c>
      <c r="B1419" s="39" t="s">
        <v>2609</v>
      </c>
      <c r="C1419" s="39" t="s">
        <v>2610</v>
      </c>
      <c r="D1419" s="39" t="s">
        <v>109</v>
      </c>
      <c r="E1419" s="48" t="s">
        <v>1140</v>
      </c>
      <c r="F1419" s="49" t="s">
        <v>151</v>
      </c>
      <c r="G1419" s="39" t="s">
        <v>2853</v>
      </c>
    </row>
    <row r="1420" customFormat="false" ht="18" hidden="false" customHeight="true" outlineLevel="0" collapsed="false">
      <c r="A1420" s="47" t="n">
        <v>1419</v>
      </c>
      <c r="B1420" s="39" t="s">
        <v>2616</v>
      </c>
      <c r="C1420" s="39" t="s">
        <v>2617</v>
      </c>
      <c r="D1420" s="39" t="s">
        <v>100</v>
      </c>
      <c r="E1420" s="48" t="s">
        <v>2618</v>
      </c>
      <c r="F1420" s="49" t="s">
        <v>766</v>
      </c>
      <c r="G1420" s="39" t="s">
        <v>2878</v>
      </c>
    </row>
    <row r="1421" customFormat="false" ht="18" hidden="false" customHeight="true" outlineLevel="0" collapsed="false">
      <c r="A1421" s="47" t="n">
        <v>1420</v>
      </c>
      <c r="B1421" s="39" t="s">
        <v>2616</v>
      </c>
      <c r="C1421" s="39" t="s">
        <v>2617</v>
      </c>
      <c r="D1421" s="39" t="s">
        <v>101</v>
      </c>
      <c r="E1421" s="48" t="s">
        <v>2619</v>
      </c>
      <c r="F1421" s="49" t="s">
        <v>767</v>
      </c>
      <c r="G1421" s="39" t="s">
        <v>2843</v>
      </c>
    </row>
    <row r="1422" customFormat="false" ht="18" hidden="false" customHeight="true" outlineLevel="0" collapsed="false">
      <c r="A1422" s="47" t="n">
        <v>1421</v>
      </c>
      <c r="B1422" s="39" t="s">
        <v>2616</v>
      </c>
      <c r="C1422" s="39" t="s">
        <v>2617</v>
      </c>
      <c r="D1422" s="39" t="s">
        <v>2845</v>
      </c>
      <c r="E1422" s="48" t="s">
        <v>2620</v>
      </c>
      <c r="F1422" s="49" t="s">
        <v>3396</v>
      </c>
      <c r="G1422" s="39" t="s">
        <v>3315</v>
      </c>
    </row>
    <row r="1423" customFormat="false" ht="18" hidden="false" customHeight="true" outlineLevel="0" collapsed="false">
      <c r="A1423" s="47" t="n">
        <v>1422</v>
      </c>
      <c r="B1423" s="39" t="s">
        <v>2616</v>
      </c>
      <c r="C1423" s="39" t="s">
        <v>2617</v>
      </c>
      <c r="D1423" s="39" t="s">
        <v>2848</v>
      </c>
      <c r="E1423" s="48" t="s">
        <v>2621</v>
      </c>
      <c r="F1423" s="49" t="s">
        <v>3397</v>
      </c>
      <c r="G1423" s="39" t="s">
        <v>3315</v>
      </c>
    </row>
    <row r="1424" customFormat="false" ht="18" hidden="false" customHeight="true" outlineLevel="0" collapsed="false">
      <c r="A1424" s="47" t="n">
        <v>1423</v>
      </c>
      <c r="B1424" s="39" t="s">
        <v>2616</v>
      </c>
      <c r="C1424" s="39" t="s">
        <v>2617</v>
      </c>
      <c r="D1424" s="39" t="s">
        <v>109</v>
      </c>
      <c r="E1424" s="48" t="s">
        <v>1851</v>
      </c>
      <c r="F1424" s="49" t="s">
        <v>151</v>
      </c>
      <c r="G1424" s="39" t="s">
        <v>2853</v>
      </c>
    </row>
    <row r="1425" customFormat="false" ht="18" hidden="false" customHeight="true" outlineLevel="0" collapsed="false">
      <c r="A1425" s="47" t="n">
        <v>1424</v>
      </c>
      <c r="B1425" s="39" t="s">
        <v>2623</v>
      </c>
      <c r="C1425" s="39" t="s">
        <v>2624</v>
      </c>
      <c r="D1425" s="39" t="s">
        <v>2840</v>
      </c>
      <c r="E1425" s="48" t="s">
        <v>2625</v>
      </c>
      <c r="F1425" s="49" t="s">
        <v>2357</v>
      </c>
      <c r="G1425" s="39" t="s">
        <v>2898</v>
      </c>
    </row>
    <row r="1426" customFormat="false" ht="18" hidden="false" customHeight="true" outlineLevel="0" collapsed="false">
      <c r="A1426" s="47" t="n">
        <v>1425</v>
      </c>
      <c r="B1426" s="39" t="s">
        <v>2623</v>
      </c>
      <c r="C1426" s="39" t="s">
        <v>2624</v>
      </c>
      <c r="D1426" s="39" t="s">
        <v>101</v>
      </c>
      <c r="E1426" s="48" t="s">
        <v>2626</v>
      </c>
      <c r="F1426" s="49" t="s">
        <v>917</v>
      </c>
      <c r="G1426" s="39" t="s">
        <v>2843</v>
      </c>
    </row>
    <row r="1427" customFormat="false" ht="18" hidden="false" customHeight="true" outlineLevel="0" collapsed="false">
      <c r="A1427" s="47" t="n">
        <v>1426</v>
      </c>
      <c r="B1427" s="39" t="s">
        <v>2623</v>
      </c>
      <c r="C1427" s="39" t="s">
        <v>2624</v>
      </c>
      <c r="D1427" s="39" t="s">
        <v>77</v>
      </c>
      <c r="E1427" s="48" t="s">
        <v>1585</v>
      </c>
      <c r="F1427" s="49" t="s">
        <v>82</v>
      </c>
      <c r="G1427" s="39" t="s">
        <v>2863</v>
      </c>
    </row>
    <row r="1428" customFormat="false" ht="18" hidden="false" customHeight="true" outlineLevel="0" collapsed="false">
      <c r="A1428" s="47" t="n">
        <v>1427</v>
      </c>
      <c r="B1428" s="39" t="s">
        <v>2623</v>
      </c>
      <c r="C1428" s="39" t="s">
        <v>2624</v>
      </c>
      <c r="D1428" s="39" t="s">
        <v>2845</v>
      </c>
      <c r="E1428" s="48" t="s">
        <v>2627</v>
      </c>
      <c r="F1428" s="49" t="s">
        <v>3256</v>
      </c>
      <c r="G1428" s="39" t="s">
        <v>3315</v>
      </c>
    </row>
    <row r="1429" customFormat="false" ht="18" hidden="false" customHeight="true" outlineLevel="0" collapsed="false">
      <c r="A1429" s="47" t="n">
        <v>1428</v>
      </c>
      <c r="B1429" s="39" t="s">
        <v>2623</v>
      </c>
      <c r="C1429" s="39" t="s">
        <v>2624</v>
      </c>
      <c r="D1429" s="39" t="s">
        <v>2848</v>
      </c>
      <c r="E1429" s="48" t="s">
        <v>2628</v>
      </c>
      <c r="F1429" s="49" t="s">
        <v>3398</v>
      </c>
      <c r="G1429" s="39" t="s">
        <v>3315</v>
      </c>
    </row>
    <row r="1430" customFormat="false" ht="18" hidden="false" customHeight="true" outlineLevel="0" collapsed="false">
      <c r="A1430" s="47" t="n">
        <v>1429</v>
      </c>
      <c r="B1430" s="39" t="s">
        <v>2623</v>
      </c>
      <c r="C1430" s="39" t="s">
        <v>2624</v>
      </c>
      <c r="D1430" s="39" t="s">
        <v>109</v>
      </c>
      <c r="E1430" s="48" t="s">
        <v>2395</v>
      </c>
      <c r="F1430" s="49" t="s">
        <v>130</v>
      </c>
      <c r="G1430" s="39" t="s">
        <v>2853</v>
      </c>
    </row>
    <row r="1431" customFormat="false" ht="18" hidden="false" customHeight="true" outlineLevel="0" collapsed="false">
      <c r="A1431" s="47" t="n">
        <v>1430</v>
      </c>
      <c r="B1431" s="39" t="s">
        <v>2630</v>
      </c>
      <c r="C1431" s="39" t="s">
        <v>2631</v>
      </c>
      <c r="D1431" s="39" t="s">
        <v>2840</v>
      </c>
      <c r="E1431" s="48" t="s">
        <v>2632</v>
      </c>
      <c r="F1431" s="49" t="s">
        <v>1607</v>
      </c>
      <c r="G1431" s="39" t="s">
        <v>2898</v>
      </c>
    </row>
    <row r="1432" customFormat="false" ht="18" hidden="false" customHeight="true" outlineLevel="0" collapsed="false">
      <c r="A1432" s="47" t="n">
        <v>1431</v>
      </c>
      <c r="B1432" s="39" t="s">
        <v>2630</v>
      </c>
      <c r="C1432" s="39" t="s">
        <v>2631</v>
      </c>
      <c r="D1432" s="39" t="s">
        <v>100</v>
      </c>
      <c r="E1432" s="48" t="s">
        <v>2633</v>
      </c>
      <c r="F1432" s="49" t="s">
        <v>660</v>
      </c>
      <c r="G1432" s="39" t="s">
        <v>2878</v>
      </c>
    </row>
    <row r="1433" customFormat="false" ht="18" hidden="false" customHeight="true" outlineLevel="0" collapsed="false">
      <c r="A1433" s="47" t="n">
        <v>1432</v>
      </c>
      <c r="B1433" s="39" t="s">
        <v>2630</v>
      </c>
      <c r="C1433" s="39" t="s">
        <v>2631</v>
      </c>
      <c r="D1433" s="39" t="s">
        <v>101</v>
      </c>
      <c r="E1433" s="48" t="s">
        <v>2634</v>
      </c>
      <c r="F1433" s="49" t="s">
        <v>661</v>
      </c>
      <c r="G1433" s="39" t="s">
        <v>2843</v>
      </c>
    </row>
    <row r="1434" customFormat="false" ht="18" hidden="false" customHeight="true" outlineLevel="0" collapsed="false">
      <c r="A1434" s="47" t="n">
        <v>1433</v>
      </c>
      <c r="B1434" s="39" t="s">
        <v>2630</v>
      </c>
      <c r="C1434" s="39" t="s">
        <v>2631</v>
      </c>
      <c r="D1434" s="39" t="s">
        <v>102</v>
      </c>
      <c r="E1434" s="48" t="s">
        <v>1337</v>
      </c>
      <c r="F1434" s="49" t="s">
        <v>128</v>
      </c>
      <c r="G1434" s="39" t="s">
        <v>2844</v>
      </c>
    </row>
    <row r="1435" customFormat="false" ht="18" hidden="false" customHeight="true" outlineLevel="0" collapsed="false">
      <c r="A1435" s="47" t="n">
        <v>1434</v>
      </c>
      <c r="B1435" s="39" t="s">
        <v>2630</v>
      </c>
      <c r="C1435" s="39" t="s">
        <v>2631</v>
      </c>
      <c r="D1435" s="39" t="s">
        <v>77</v>
      </c>
      <c r="E1435" s="48" t="s">
        <v>1162</v>
      </c>
      <c r="F1435" s="49" t="s">
        <v>79</v>
      </c>
      <c r="G1435" s="39" t="s">
        <v>2863</v>
      </c>
    </row>
    <row r="1436" customFormat="false" ht="18" hidden="false" customHeight="true" outlineLevel="0" collapsed="false">
      <c r="A1436" s="47" t="n">
        <v>1435</v>
      </c>
      <c r="B1436" s="39" t="s">
        <v>2630</v>
      </c>
      <c r="C1436" s="39" t="s">
        <v>2631</v>
      </c>
      <c r="D1436" s="39" t="s">
        <v>2845</v>
      </c>
      <c r="E1436" s="48" t="s">
        <v>2635</v>
      </c>
      <c r="F1436" s="49" t="s">
        <v>3399</v>
      </c>
      <c r="G1436" s="39" t="s">
        <v>3315</v>
      </c>
    </row>
    <row r="1437" customFormat="false" ht="18" hidden="false" customHeight="true" outlineLevel="0" collapsed="false">
      <c r="A1437" s="47" t="n">
        <v>1436</v>
      </c>
      <c r="B1437" s="39" t="s">
        <v>2630</v>
      </c>
      <c r="C1437" s="39" t="s">
        <v>2631</v>
      </c>
      <c r="D1437" s="39" t="s">
        <v>2848</v>
      </c>
      <c r="E1437" s="48" t="s">
        <v>2636</v>
      </c>
      <c r="F1437" s="49" t="s">
        <v>3400</v>
      </c>
      <c r="G1437" s="39" t="s">
        <v>3315</v>
      </c>
    </row>
    <row r="1438" customFormat="false" ht="18" hidden="false" customHeight="true" outlineLevel="0" collapsed="false">
      <c r="A1438" s="47" t="n">
        <v>1437</v>
      </c>
      <c r="B1438" s="39" t="s">
        <v>2630</v>
      </c>
      <c r="C1438" s="39" t="s">
        <v>2631</v>
      </c>
      <c r="D1438" s="39" t="s">
        <v>2850</v>
      </c>
      <c r="E1438" s="48" t="s">
        <v>2637</v>
      </c>
      <c r="F1438" s="49" t="s">
        <v>2962</v>
      </c>
      <c r="G1438" s="39" t="s">
        <v>2852</v>
      </c>
    </row>
    <row r="1439" customFormat="false" ht="18" hidden="false" customHeight="true" outlineLevel="0" collapsed="false">
      <c r="A1439" s="47" t="n">
        <v>1438</v>
      </c>
      <c r="B1439" s="39" t="s">
        <v>2630</v>
      </c>
      <c r="C1439" s="39" t="s">
        <v>2631</v>
      </c>
      <c r="D1439" s="39" t="s">
        <v>109</v>
      </c>
      <c r="E1439" s="48" t="s">
        <v>1140</v>
      </c>
      <c r="F1439" s="49" t="s">
        <v>151</v>
      </c>
      <c r="G1439" s="39" t="s">
        <v>2853</v>
      </c>
    </row>
    <row r="1440" customFormat="false" ht="18" hidden="false" customHeight="true" outlineLevel="0" collapsed="false">
      <c r="A1440" s="47" t="n">
        <v>1439</v>
      </c>
      <c r="B1440" s="39" t="s">
        <v>2638</v>
      </c>
      <c r="C1440" s="39" t="s">
        <v>2639</v>
      </c>
      <c r="D1440" s="39" t="s">
        <v>101</v>
      </c>
      <c r="E1440" s="48" t="s">
        <v>1789</v>
      </c>
      <c r="F1440" s="49" t="s">
        <v>711</v>
      </c>
      <c r="G1440" s="39" t="s">
        <v>2843</v>
      </c>
    </row>
    <row r="1441" customFormat="false" ht="18" hidden="false" customHeight="true" outlineLevel="0" collapsed="false">
      <c r="A1441" s="47" t="n">
        <v>1440</v>
      </c>
      <c r="B1441" s="39" t="s">
        <v>2638</v>
      </c>
      <c r="C1441" s="39" t="s">
        <v>2639</v>
      </c>
      <c r="D1441" s="39" t="s">
        <v>2845</v>
      </c>
      <c r="E1441" s="48" t="s">
        <v>2640</v>
      </c>
      <c r="F1441" s="49" t="s">
        <v>3401</v>
      </c>
      <c r="G1441" s="39" t="s">
        <v>3315</v>
      </c>
    </row>
    <row r="1442" customFormat="false" ht="18" hidden="false" customHeight="true" outlineLevel="0" collapsed="false">
      <c r="A1442" s="47" t="n">
        <v>1441</v>
      </c>
      <c r="B1442" s="39" t="s">
        <v>2638</v>
      </c>
      <c r="C1442" s="39" t="s">
        <v>2639</v>
      </c>
      <c r="D1442" s="39" t="s">
        <v>2848</v>
      </c>
      <c r="E1442" s="48" t="s">
        <v>2641</v>
      </c>
      <c r="F1442" s="49" t="s">
        <v>3227</v>
      </c>
      <c r="G1442" s="39" t="s">
        <v>3315</v>
      </c>
    </row>
    <row r="1443" customFormat="false" ht="18" hidden="false" customHeight="true" outlineLevel="0" collapsed="false">
      <c r="A1443" s="47" t="n">
        <v>1442</v>
      </c>
      <c r="B1443" s="39" t="s">
        <v>2638</v>
      </c>
      <c r="C1443" s="39" t="s">
        <v>2639</v>
      </c>
      <c r="D1443" s="39" t="s">
        <v>2850</v>
      </c>
      <c r="E1443" s="48" t="s">
        <v>2642</v>
      </c>
      <c r="F1443" s="49" t="s">
        <v>3402</v>
      </c>
      <c r="G1443" s="39" t="s">
        <v>2852</v>
      </c>
    </row>
    <row r="1444" customFormat="false" ht="18" hidden="false" customHeight="true" outlineLevel="0" collapsed="false">
      <c r="A1444" s="47" t="n">
        <v>1443</v>
      </c>
      <c r="B1444" s="39" t="s">
        <v>2638</v>
      </c>
      <c r="C1444" s="39" t="s">
        <v>2639</v>
      </c>
      <c r="D1444" s="39" t="s">
        <v>109</v>
      </c>
      <c r="E1444" s="48" t="s">
        <v>2395</v>
      </c>
      <c r="F1444" s="49" t="s">
        <v>130</v>
      </c>
      <c r="G1444" s="39" t="s">
        <v>2853</v>
      </c>
    </row>
    <row r="1445" customFormat="false" ht="18" hidden="false" customHeight="true" outlineLevel="0" collapsed="false">
      <c r="A1445" s="47" t="n">
        <v>1444</v>
      </c>
      <c r="B1445" s="39" t="s">
        <v>336</v>
      </c>
      <c r="C1445" s="39" t="s">
        <v>2643</v>
      </c>
      <c r="D1445" s="39" t="s">
        <v>2840</v>
      </c>
      <c r="E1445" s="48" t="s">
        <v>2644</v>
      </c>
      <c r="F1445" s="49" t="s">
        <v>3403</v>
      </c>
      <c r="G1445" s="39" t="s">
        <v>2898</v>
      </c>
    </row>
    <row r="1446" customFormat="false" ht="18" hidden="false" customHeight="true" outlineLevel="0" collapsed="false">
      <c r="A1446" s="47" t="n">
        <v>1445</v>
      </c>
      <c r="B1446" s="39" t="s">
        <v>336</v>
      </c>
      <c r="C1446" s="39" t="s">
        <v>2643</v>
      </c>
      <c r="D1446" s="39" t="s">
        <v>101</v>
      </c>
      <c r="E1446" s="48" t="s">
        <v>2645</v>
      </c>
      <c r="F1446" s="49" t="s">
        <v>335</v>
      </c>
      <c r="G1446" s="39" t="s">
        <v>2843</v>
      </c>
    </row>
    <row r="1447" customFormat="false" ht="18" hidden="false" customHeight="true" outlineLevel="0" collapsed="false">
      <c r="A1447" s="47" t="n">
        <v>1446</v>
      </c>
      <c r="B1447" s="39" t="s">
        <v>336</v>
      </c>
      <c r="C1447" s="39" t="s">
        <v>2643</v>
      </c>
      <c r="D1447" s="39" t="s">
        <v>102</v>
      </c>
      <c r="E1447" s="48" t="s">
        <v>1194</v>
      </c>
      <c r="F1447" s="49" t="s">
        <v>128</v>
      </c>
      <c r="G1447" s="39" t="s">
        <v>2844</v>
      </c>
    </row>
    <row r="1448" customFormat="false" ht="18" hidden="false" customHeight="true" outlineLevel="0" collapsed="false">
      <c r="A1448" s="47" t="n">
        <v>1447</v>
      </c>
      <c r="B1448" s="39" t="s">
        <v>336</v>
      </c>
      <c r="C1448" s="39" t="s">
        <v>2643</v>
      </c>
      <c r="D1448" s="39" t="s">
        <v>77</v>
      </c>
      <c r="E1448" s="48" t="s">
        <v>1137</v>
      </c>
      <c r="F1448" s="49" t="s">
        <v>79</v>
      </c>
      <c r="G1448" s="39" t="s">
        <v>2863</v>
      </c>
    </row>
    <row r="1449" customFormat="false" ht="18" hidden="false" customHeight="true" outlineLevel="0" collapsed="false">
      <c r="A1449" s="47" t="n">
        <v>1448</v>
      </c>
      <c r="B1449" s="39" t="s">
        <v>336</v>
      </c>
      <c r="C1449" s="39" t="s">
        <v>2643</v>
      </c>
      <c r="D1449" s="39" t="s">
        <v>2845</v>
      </c>
      <c r="E1449" s="48" t="s">
        <v>2646</v>
      </c>
      <c r="F1449" s="49" t="s">
        <v>3404</v>
      </c>
      <c r="G1449" s="39" t="s">
        <v>3315</v>
      </c>
    </row>
    <row r="1450" customFormat="false" ht="18" hidden="false" customHeight="true" outlineLevel="0" collapsed="false">
      <c r="A1450" s="47" t="n">
        <v>1449</v>
      </c>
      <c r="B1450" s="39" t="s">
        <v>336</v>
      </c>
      <c r="C1450" s="39" t="s">
        <v>2643</v>
      </c>
      <c r="D1450" s="39" t="s">
        <v>2848</v>
      </c>
      <c r="E1450" s="48" t="s">
        <v>2647</v>
      </c>
      <c r="F1450" s="49" t="s">
        <v>2159</v>
      </c>
      <c r="G1450" s="39" t="s">
        <v>3315</v>
      </c>
    </row>
    <row r="1451" customFormat="false" ht="18" hidden="false" customHeight="true" outlineLevel="0" collapsed="false">
      <c r="A1451" s="47" t="n">
        <v>1450</v>
      </c>
      <c r="B1451" s="39" t="s">
        <v>336</v>
      </c>
      <c r="C1451" s="39" t="s">
        <v>2643</v>
      </c>
      <c r="D1451" s="39" t="s">
        <v>2850</v>
      </c>
      <c r="E1451" s="48" t="s">
        <v>2648</v>
      </c>
      <c r="F1451" s="49" t="s">
        <v>3405</v>
      </c>
      <c r="G1451" s="39" t="s">
        <v>2852</v>
      </c>
    </row>
    <row r="1452" customFormat="false" ht="18" hidden="false" customHeight="true" outlineLevel="0" collapsed="false">
      <c r="A1452" s="47" t="n">
        <v>1451</v>
      </c>
      <c r="B1452" s="39" t="s">
        <v>336</v>
      </c>
      <c r="C1452" s="39" t="s">
        <v>2643</v>
      </c>
      <c r="D1452" s="39" t="s">
        <v>109</v>
      </c>
      <c r="E1452" s="48" t="s">
        <v>1140</v>
      </c>
      <c r="F1452" s="49" t="s">
        <v>151</v>
      </c>
      <c r="G1452" s="39" t="s">
        <v>2853</v>
      </c>
    </row>
    <row r="1453" customFormat="false" ht="18" hidden="false" customHeight="true" outlineLevel="0" collapsed="false">
      <c r="A1453" s="47" t="n">
        <v>1452</v>
      </c>
      <c r="B1453" s="39" t="s">
        <v>2649</v>
      </c>
      <c r="C1453" s="39" t="s">
        <v>2650</v>
      </c>
      <c r="D1453" s="39" t="s">
        <v>2840</v>
      </c>
      <c r="E1453" s="48" t="s">
        <v>2651</v>
      </c>
      <c r="F1453" s="49" t="s">
        <v>2783</v>
      </c>
      <c r="G1453" s="39" t="s">
        <v>2898</v>
      </c>
    </row>
    <row r="1454" customFormat="false" ht="18" hidden="false" customHeight="true" outlineLevel="0" collapsed="false">
      <c r="A1454" s="47" t="n">
        <v>1453</v>
      </c>
      <c r="B1454" s="39" t="s">
        <v>2649</v>
      </c>
      <c r="C1454" s="39" t="s">
        <v>2650</v>
      </c>
      <c r="D1454" s="39" t="s">
        <v>101</v>
      </c>
      <c r="E1454" s="48" t="s">
        <v>2652</v>
      </c>
      <c r="F1454" s="49" t="s">
        <v>1032</v>
      </c>
      <c r="G1454" s="39" t="s">
        <v>2843</v>
      </c>
    </row>
    <row r="1455" customFormat="false" ht="18" hidden="false" customHeight="true" outlineLevel="0" collapsed="false">
      <c r="A1455" s="47" t="n">
        <v>1454</v>
      </c>
      <c r="B1455" s="39" t="s">
        <v>2649</v>
      </c>
      <c r="C1455" s="39" t="s">
        <v>2650</v>
      </c>
      <c r="D1455" s="39" t="s">
        <v>102</v>
      </c>
      <c r="E1455" s="48" t="s">
        <v>1824</v>
      </c>
      <c r="F1455" s="49" t="s">
        <v>128</v>
      </c>
      <c r="G1455" s="39" t="s">
        <v>2844</v>
      </c>
    </row>
    <row r="1456" customFormat="false" ht="18" hidden="false" customHeight="true" outlineLevel="0" collapsed="false">
      <c r="A1456" s="47" t="n">
        <v>1455</v>
      </c>
      <c r="B1456" s="39" t="s">
        <v>2649</v>
      </c>
      <c r="C1456" s="39" t="s">
        <v>2650</v>
      </c>
      <c r="D1456" s="39" t="s">
        <v>2845</v>
      </c>
      <c r="E1456" s="48" t="s">
        <v>2653</v>
      </c>
      <c r="F1456" s="49" t="s">
        <v>3197</v>
      </c>
      <c r="G1456" s="39" t="s">
        <v>3315</v>
      </c>
    </row>
    <row r="1457" customFormat="false" ht="18" hidden="false" customHeight="true" outlineLevel="0" collapsed="false">
      <c r="A1457" s="47" t="n">
        <v>1456</v>
      </c>
      <c r="B1457" s="39" t="s">
        <v>2649</v>
      </c>
      <c r="C1457" s="39" t="s">
        <v>2650</v>
      </c>
      <c r="D1457" s="39" t="s">
        <v>2848</v>
      </c>
      <c r="E1457" s="48" t="s">
        <v>2653</v>
      </c>
      <c r="F1457" s="49" t="s">
        <v>3197</v>
      </c>
      <c r="G1457" s="39" t="s">
        <v>3315</v>
      </c>
    </row>
    <row r="1458" customFormat="false" ht="18" hidden="false" customHeight="true" outlineLevel="0" collapsed="false">
      <c r="A1458" s="47" t="n">
        <v>1457</v>
      </c>
      <c r="B1458" s="39" t="s">
        <v>2649</v>
      </c>
      <c r="C1458" s="39" t="s">
        <v>2650</v>
      </c>
      <c r="D1458" s="39" t="s">
        <v>2850</v>
      </c>
      <c r="E1458" s="48" t="s">
        <v>2654</v>
      </c>
      <c r="F1458" s="49" t="s">
        <v>2785</v>
      </c>
      <c r="G1458" s="39" t="s">
        <v>2852</v>
      </c>
    </row>
    <row r="1459" customFormat="false" ht="18" hidden="false" customHeight="true" outlineLevel="0" collapsed="false">
      <c r="A1459" s="47" t="n">
        <v>1458</v>
      </c>
      <c r="B1459" s="39" t="s">
        <v>2649</v>
      </c>
      <c r="C1459" s="39" t="s">
        <v>2650</v>
      </c>
      <c r="D1459" s="39" t="s">
        <v>109</v>
      </c>
      <c r="E1459" s="48" t="s">
        <v>2395</v>
      </c>
      <c r="F1459" s="49" t="s">
        <v>130</v>
      </c>
      <c r="G1459" s="39" t="s">
        <v>2853</v>
      </c>
    </row>
    <row r="1460" customFormat="false" ht="18" hidden="false" customHeight="true" outlineLevel="0" collapsed="false">
      <c r="A1460" s="47" t="n">
        <v>1459</v>
      </c>
      <c r="B1460" s="39" t="s">
        <v>830</v>
      </c>
      <c r="C1460" s="39" t="s">
        <v>2655</v>
      </c>
      <c r="D1460" s="39" t="s">
        <v>101</v>
      </c>
      <c r="E1460" s="48" t="s">
        <v>2657</v>
      </c>
      <c r="F1460" s="49" t="s">
        <v>829</v>
      </c>
      <c r="G1460" s="39" t="s">
        <v>2843</v>
      </c>
    </row>
    <row r="1461" customFormat="false" ht="18" hidden="false" customHeight="true" outlineLevel="0" collapsed="false">
      <c r="A1461" s="47" t="n">
        <v>1460</v>
      </c>
      <c r="B1461" s="39" t="s">
        <v>830</v>
      </c>
      <c r="C1461" s="39" t="s">
        <v>2655</v>
      </c>
      <c r="D1461" s="39" t="s">
        <v>2845</v>
      </c>
      <c r="E1461" s="48" t="s">
        <v>2658</v>
      </c>
      <c r="F1461" s="49" t="s">
        <v>3406</v>
      </c>
      <c r="G1461" s="39" t="s">
        <v>3315</v>
      </c>
    </row>
    <row r="1462" customFormat="false" ht="18" hidden="false" customHeight="true" outlineLevel="0" collapsed="false">
      <c r="A1462" s="47" t="n">
        <v>1461</v>
      </c>
      <c r="B1462" s="39" t="s">
        <v>830</v>
      </c>
      <c r="C1462" s="39" t="s">
        <v>2655</v>
      </c>
      <c r="D1462" s="39" t="s">
        <v>2848</v>
      </c>
      <c r="E1462" s="48" t="s">
        <v>2659</v>
      </c>
      <c r="F1462" s="49" t="s">
        <v>2189</v>
      </c>
      <c r="G1462" s="39" t="s">
        <v>3315</v>
      </c>
    </row>
    <row r="1463" customFormat="false" ht="18" hidden="false" customHeight="true" outlineLevel="0" collapsed="false">
      <c r="A1463" s="47" t="n">
        <v>1462</v>
      </c>
      <c r="B1463" s="39" t="s">
        <v>830</v>
      </c>
      <c r="C1463" s="39" t="s">
        <v>2655</v>
      </c>
      <c r="D1463" s="39" t="s">
        <v>2850</v>
      </c>
      <c r="E1463" s="48" t="s">
        <v>2660</v>
      </c>
      <c r="F1463" s="49" t="s">
        <v>3407</v>
      </c>
      <c r="G1463" s="39" t="s">
        <v>2852</v>
      </c>
    </row>
    <row r="1464" customFormat="false" ht="18" hidden="false" customHeight="true" outlineLevel="0" collapsed="false">
      <c r="A1464" s="47" t="n">
        <v>1463</v>
      </c>
      <c r="B1464" s="39" t="s">
        <v>830</v>
      </c>
      <c r="C1464" s="39" t="s">
        <v>2655</v>
      </c>
      <c r="D1464" s="39" t="s">
        <v>109</v>
      </c>
      <c r="E1464" s="48" t="s">
        <v>2395</v>
      </c>
      <c r="F1464" s="49" t="s">
        <v>130</v>
      </c>
      <c r="G1464" s="39" t="s">
        <v>2853</v>
      </c>
    </row>
    <row r="1465" customFormat="false" ht="18" hidden="false" customHeight="true" outlineLevel="0" collapsed="false">
      <c r="A1465" s="47" t="n">
        <v>1464</v>
      </c>
      <c r="B1465" s="39" t="s">
        <v>2661</v>
      </c>
      <c r="C1465" s="39" t="s">
        <v>2662</v>
      </c>
      <c r="D1465" s="39" t="s">
        <v>2840</v>
      </c>
      <c r="E1465" s="48" t="s">
        <v>2611</v>
      </c>
      <c r="F1465" s="49" t="s">
        <v>3394</v>
      </c>
      <c r="G1465" s="39" t="s">
        <v>2898</v>
      </c>
    </row>
    <row r="1466" customFormat="false" ht="18" hidden="false" customHeight="true" outlineLevel="0" collapsed="false">
      <c r="A1466" s="47" t="n">
        <v>1465</v>
      </c>
      <c r="B1466" s="39" t="s">
        <v>2661</v>
      </c>
      <c r="C1466" s="39" t="s">
        <v>2662</v>
      </c>
      <c r="D1466" s="39" t="s">
        <v>101</v>
      </c>
      <c r="E1466" s="48" t="s">
        <v>2663</v>
      </c>
      <c r="F1466" s="49" t="s">
        <v>943</v>
      </c>
      <c r="G1466" s="39" t="s">
        <v>2843</v>
      </c>
    </row>
    <row r="1467" customFormat="false" ht="18" hidden="false" customHeight="true" outlineLevel="0" collapsed="false">
      <c r="A1467" s="47" t="n">
        <v>1466</v>
      </c>
      <c r="B1467" s="39" t="s">
        <v>2661</v>
      </c>
      <c r="C1467" s="39" t="s">
        <v>2662</v>
      </c>
      <c r="D1467" s="39" t="s">
        <v>77</v>
      </c>
      <c r="E1467" s="48" t="s">
        <v>1137</v>
      </c>
      <c r="F1467" s="49" t="s">
        <v>79</v>
      </c>
      <c r="G1467" s="39" t="s">
        <v>2863</v>
      </c>
    </row>
    <row r="1468" customFormat="false" ht="18" hidden="false" customHeight="true" outlineLevel="0" collapsed="false">
      <c r="A1468" s="47" t="n">
        <v>1467</v>
      </c>
      <c r="B1468" s="39" t="s">
        <v>2661</v>
      </c>
      <c r="C1468" s="39" t="s">
        <v>2662</v>
      </c>
      <c r="D1468" s="39" t="s">
        <v>2845</v>
      </c>
      <c r="E1468" s="48" t="s">
        <v>2613</v>
      </c>
      <c r="F1468" s="49" t="s">
        <v>3395</v>
      </c>
      <c r="G1468" s="39" t="s">
        <v>3315</v>
      </c>
    </row>
    <row r="1469" customFormat="false" ht="18" hidden="false" customHeight="true" outlineLevel="0" collapsed="false">
      <c r="A1469" s="47" t="n">
        <v>1468</v>
      </c>
      <c r="B1469" s="39" t="s">
        <v>2661</v>
      </c>
      <c r="C1469" s="39" t="s">
        <v>2662</v>
      </c>
      <c r="D1469" s="39" t="s">
        <v>2848</v>
      </c>
      <c r="E1469" s="48" t="s">
        <v>2614</v>
      </c>
      <c r="F1469" s="49" t="s">
        <v>2961</v>
      </c>
      <c r="G1469" s="39" t="s">
        <v>3315</v>
      </c>
    </row>
    <row r="1470" customFormat="false" ht="18" hidden="false" customHeight="true" outlineLevel="0" collapsed="false">
      <c r="A1470" s="47" t="n">
        <v>1469</v>
      </c>
      <c r="B1470" s="39" t="s">
        <v>2661</v>
      </c>
      <c r="C1470" s="39" t="s">
        <v>2662</v>
      </c>
      <c r="D1470" s="39" t="s">
        <v>2850</v>
      </c>
      <c r="E1470" s="48" t="s">
        <v>2615</v>
      </c>
      <c r="F1470" s="49" t="s">
        <v>2376</v>
      </c>
      <c r="G1470" s="39" t="s">
        <v>2852</v>
      </c>
    </row>
    <row r="1471" customFormat="false" ht="18" hidden="false" customHeight="true" outlineLevel="0" collapsed="false">
      <c r="A1471" s="47" t="n">
        <v>1470</v>
      </c>
      <c r="B1471" s="39" t="s">
        <v>2661</v>
      </c>
      <c r="C1471" s="39" t="s">
        <v>2662</v>
      </c>
      <c r="D1471" s="39" t="s">
        <v>109</v>
      </c>
      <c r="E1471" s="48" t="s">
        <v>1140</v>
      </c>
      <c r="F1471" s="49" t="s">
        <v>151</v>
      </c>
      <c r="G1471" s="39" t="s">
        <v>2853</v>
      </c>
    </row>
    <row r="1472" customFormat="false" ht="18" hidden="false" customHeight="true" outlineLevel="0" collapsed="false">
      <c r="A1472" s="47" t="n">
        <v>1471</v>
      </c>
      <c r="B1472" s="39" t="s">
        <v>2664</v>
      </c>
      <c r="C1472" s="39" t="s">
        <v>2665</v>
      </c>
      <c r="D1472" s="39" t="s">
        <v>101</v>
      </c>
      <c r="E1472" s="48" t="s">
        <v>2666</v>
      </c>
      <c r="F1472" s="49" t="s">
        <v>683</v>
      </c>
      <c r="G1472" s="39" t="s">
        <v>2843</v>
      </c>
    </row>
    <row r="1473" customFormat="false" ht="18" hidden="false" customHeight="true" outlineLevel="0" collapsed="false">
      <c r="A1473" s="47" t="n">
        <v>1472</v>
      </c>
      <c r="B1473" s="39" t="s">
        <v>2664</v>
      </c>
      <c r="C1473" s="39" t="s">
        <v>2665</v>
      </c>
      <c r="D1473" s="39" t="s">
        <v>77</v>
      </c>
      <c r="E1473" s="48" t="s">
        <v>1236</v>
      </c>
      <c r="F1473" s="49" t="s">
        <v>80</v>
      </c>
      <c r="G1473" s="39" t="s">
        <v>2863</v>
      </c>
    </row>
    <row r="1474" customFormat="false" ht="18" hidden="false" customHeight="true" outlineLevel="0" collapsed="false">
      <c r="A1474" s="47" t="n">
        <v>1473</v>
      </c>
      <c r="B1474" s="39" t="s">
        <v>2664</v>
      </c>
      <c r="C1474" s="39" t="s">
        <v>2665</v>
      </c>
      <c r="D1474" s="39" t="s">
        <v>2845</v>
      </c>
      <c r="E1474" s="48" t="s">
        <v>2667</v>
      </c>
      <c r="F1474" s="49" t="s">
        <v>3408</v>
      </c>
      <c r="G1474" s="39" t="s">
        <v>3315</v>
      </c>
    </row>
    <row r="1475" customFormat="false" ht="18" hidden="false" customHeight="true" outlineLevel="0" collapsed="false">
      <c r="A1475" s="47" t="n">
        <v>1474</v>
      </c>
      <c r="B1475" s="39" t="s">
        <v>2664</v>
      </c>
      <c r="C1475" s="39" t="s">
        <v>2665</v>
      </c>
      <c r="D1475" s="39" t="s">
        <v>2848</v>
      </c>
      <c r="E1475" s="48" t="s">
        <v>2668</v>
      </c>
      <c r="F1475" s="49" t="s">
        <v>3409</v>
      </c>
      <c r="G1475" s="39" t="s">
        <v>3315</v>
      </c>
    </row>
    <row r="1476" customFormat="false" ht="18" hidden="false" customHeight="true" outlineLevel="0" collapsed="false">
      <c r="A1476" s="47" t="n">
        <v>1475</v>
      </c>
      <c r="B1476" s="39" t="s">
        <v>2664</v>
      </c>
      <c r="C1476" s="39" t="s">
        <v>2665</v>
      </c>
      <c r="D1476" s="39" t="s">
        <v>2850</v>
      </c>
      <c r="E1476" s="48" t="s">
        <v>2394</v>
      </c>
      <c r="F1476" s="49" t="s">
        <v>3117</v>
      </c>
      <c r="G1476" s="39" t="s">
        <v>2852</v>
      </c>
    </row>
    <row r="1477" customFormat="false" ht="18" hidden="false" customHeight="true" outlineLevel="0" collapsed="false">
      <c r="A1477" s="47" t="n">
        <v>1476</v>
      </c>
      <c r="B1477" s="39" t="s">
        <v>2664</v>
      </c>
      <c r="C1477" s="39" t="s">
        <v>2665</v>
      </c>
      <c r="D1477" s="39" t="s">
        <v>109</v>
      </c>
      <c r="E1477" s="48" t="s">
        <v>1851</v>
      </c>
      <c r="F1477" s="49" t="s">
        <v>151</v>
      </c>
      <c r="G1477" s="39" t="s">
        <v>2853</v>
      </c>
    </row>
    <row r="1478" customFormat="false" ht="18" hidden="false" customHeight="true" outlineLevel="0" collapsed="false">
      <c r="A1478" s="47" t="n">
        <v>1477</v>
      </c>
      <c r="B1478" s="39" t="s">
        <v>240</v>
      </c>
      <c r="C1478" s="39" t="s">
        <v>2669</v>
      </c>
      <c r="D1478" s="39" t="s">
        <v>2840</v>
      </c>
      <c r="E1478" s="48" t="s">
        <v>2670</v>
      </c>
      <c r="F1478" s="49" t="s">
        <v>3410</v>
      </c>
      <c r="G1478" s="39" t="s">
        <v>2898</v>
      </c>
    </row>
    <row r="1479" customFormat="false" ht="18" hidden="false" customHeight="true" outlineLevel="0" collapsed="false">
      <c r="A1479" s="47" t="n">
        <v>1478</v>
      </c>
      <c r="B1479" s="39" t="s">
        <v>240</v>
      </c>
      <c r="C1479" s="39" t="s">
        <v>2669</v>
      </c>
      <c r="D1479" s="39" t="s">
        <v>100</v>
      </c>
      <c r="E1479" s="48" t="s">
        <v>2671</v>
      </c>
      <c r="F1479" s="49" t="s">
        <v>237</v>
      </c>
      <c r="G1479" s="39" t="s">
        <v>2878</v>
      </c>
    </row>
    <row r="1480" customFormat="false" ht="18" hidden="false" customHeight="true" outlineLevel="0" collapsed="false">
      <c r="A1480" s="47" t="n">
        <v>1479</v>
      </c>
      <c r="B1480" s="39" t="s">
        <v>240</v>
      </c>
      <c r="C1480" s="39" t="s">
        <v>2669</v>
      </c>
      <c r="D1480" s="39" t="s">
        <v>101</v>
      </c>
      <c r="E1480" s="48" t="s">
        <v>2672</v>
      </c>
      <c r="F1480" s="49" t="s">
        <v>238</v>
      </c>
      <c r="G1480" s="39" t="s">
        <v>2843</v>
      </c>
    </row>
    <row r="1481" customFormat="false" ht="18" hidden="false" customHeight="true" outlineLevel="0" collapsed="false">
      <c r="A1481" s="47" t="n">
        <v>1480</v>
      </c>
      <c r="B1481" s="39" t="s">
        <v>240</v>
      </c>
      <c r="C1481" s="39" t="s">
        <v>2669</v>
      </c>
      <c r="D1481" s="39" t="s">
        <v>102</v>
      </c>
      <c r="E1481" s="48" t="s">
        <v>1917</v>
      </c>
      <c r="F1481" s="49" t="s">
        <v>239</v>
      </c>
      <c r="G1481" s="39" t="s">
        <v>2844</v>
      </c>
    </row>
    <row r="1482" customFormat="false" ht="18" hidden="false" customHeight="true" outlineLevel="0" collapsed="false">
      <c r="A1482" s="47" t="n">
        <v>1481</v>
      </c>
      <c r="B1482" s="39" t="s">
        <v>240</v>
      </c>
      <c r="C1482" s="39" t="s">
        <v>2669</v>
      </c>
      <c r="D1482" s="39" t="s">
        <v>2845</v>
      </c>
      <c r="E1482" s="48" t="s">
        <v>2673</v>
      </c>
      <c r="F1482" s="49" t="s">
        <v>3411</v>
      </c>
      <c r="G1482" s="39" t="s">
        <v>3315</v>
      </c>
    </row>
    <row r="1483" customFormat="false" ht="18" hidden="false" customHeight="true" outlineLevel="0" collapsed="false">
      <c r="A1483" s="47" t="n">
        <v>1482</v>
      </c>
      <c r="B1483" s="39" t="s">
        <v>240</v>
      </c>
      <c r="C1483" s="39" t="s">
        <v>2669</v>
      </c>
      <c r="D1483" s="39" t="s">
        <v>2848</v>
      </c>
      <c r="E1483" s="48" t="s">
        <v>2674</v>
      </c>
      <c r="F1483" s="49" t="s">
        <v>3111</v>
      </c>
      <c r="G1483" s="39" t="s">
        <v>3315</v>
      </c>
    </row>
    <row r="1484" customFormat="false" ht="18" hidden="false" customHeight="true" outlineLevel="0" collapsed="false">
      <c r="A1484" s="47" t="n">
        <v>1483</v>
      </c>
      <c r="B1484" s="39" t="s">
        <v>240</v>
      </c>
      <c r="C1484" s="39" t="s">
        <v>2669</v>
      </c>
      <c r="D1484" s="39" t="s">
        <v>109</v>
      </c>
      <c r="E1484" s="48" t="s">
        <v>2034</v>
      </c>
      <c r="F1484" s="49" t="s">
        <v>130</v>
      </c>
      <c r="G1484" s="39" t="s">
        <v>2853</v>
      </c>
    </row>
    <row r="1485" customFormat="false" ht="18" hidden="false" customHeight="true" outlineLevel="0" collapsed="false">
      <c r="A1485" s="47" t="n">
        <v>1484</v>
      </c>
      <c r="B1485" s="39" t="s">
        <v>251</v>
      </c>
      <c r="C1485" s="39" t="s">
        <v>2676</v>
      </c>
      <c r="D1485" s="39" t="s">
        <v>2840</v>
      </c>
      <c r="E1485" s="48" t="s">
        <v>2677</v>
      </c>
      <c r="F1485" s="49" t="s">
        <v>3412</v>
      </c>
      <c r="G1485" s="39" t="s">
        <v>2898</v>
      </c>
    </row>
    <row r="1486" customFormat="false" ht="18" hidden="false" customHeight="true" outlineLevel="0" collapsed="false">
      <c r="A1486" s="47" t="n">
        <v>1485</v>
      </c>
      <c r="B1486" s="39" t="s">
        <v>251</v>
      </c>
      <c r="C1486" s="39" t="s">
        <v>2676</v>
      </c>
      <c r="D1486" s="39" t="s">
        <v>101</v>
      </c>
      <c r="E1486" s="48" t="s">
        <v>2678</v>
      </c>
      <c r="F1486" s="49" t="s">
        <v>250</v>
      </c>
      <c r="G1486" s="39" t="s">
        <v>2843</v>
      </c>
    </row>
    <row r="1487" customFormat="false" ht="18" hidden="false" customHeight="true" outlineLevel="0" collapsed="false">
      <c r="A1487" s="47" t="n">
        <v>1486</v>
      </c>
      <c r="B1487" s="39" t="s">
        <v>251</v>
      </c>
      <c r="C1487" s="39" t="s">
        <v>2676</v>
      </c>
      <c r="D1487" s="39" t="s">
        <v>77</v>
      </c>
      <c r="E1487" s="48" t="s">
        <v>2243</v>
      </c>
      <c r="F1487" s="49" t="s">
        <v>82</v>
      </c>
      <c r="G1487" s="39" t="s">
        <v>2863</v>
      </c>
    </row>
    <row r="1488" customFormat="false" ht="18" hidden="false" customHeight="true" outlineLevel="0" collapsed="false">
      <c r="A1488" s="47" t="n">
        <v>1487</v>
      </c>
      <c r="B1488" s="39" t="s">
        <v>251</v>
      </c>
      <c r="C1488" s="39" t="s">
        <v>2676</v>
      </c>
      <c r="D1488" s="39" t="s">
        <v>2845</v>
      </c>
      <c r="E1488" s="48" t="s">
        <v>2679</v>
      </c>
      <c r="F1488" s="49" t="s">
        <v>3413</v>
      </c>
      <c r="G1488" s="39" t="s">
        <v>3315</v>
      </c>
    </row>
    <row r="1489" customFormat="false" ht="18" hidden="false" customHeight="true" outlineLevel="0" collapsed="false">
      <c r="A1489" s="47" t="n">
        <v>1488</v>
      </c>
      <c r="B1489" s="39" t="s">
        <v>251</v>
      </c>
      <c r="C1489" s="39" t="s">
        <v>2676</v>
      </c>
      <c r="D1489" s="39" t="s">
        <v>2848</v>
      </c>
      <c r="E1489" s="48" t="s">
        <v>2680</v>
      </c>
      <c r="F1489" s="49" t="s">
        <v>3414</v>
      </c>
      <c r="G1489" s="39" t="s">
        <v>3315</v>
      </c>
    </row>
    <row r="1490" customFormat="false" ht="18" hidden="false" customHeight="true" outlineLevel="0" collapsed="false">
      <c r="A1490" s="47" t="n">
        <v>1489</v>
      </c>
      <c r="B1490" s="39" t="s">
        <v>251</v>
      </c>
      <c r="C1490" s="39" t="s">
        <v>2676</v>
      </c>
      <c r="D1490" s="39" t="s">
        <v>109</v>
      </c>
      <c r="E1490" s="48" t="s">
        <v>1140</v>
      </c>
      <c r="F1490" s="49" t="s">
        <v>151</v>
      </c>
      <c r="G1490" s="39" t="s">
        <v>2853</v>
      </c>
    </row>
    <row r="1491" customFormat="false" ht="18" hidden="false" customHeight="true" outlineLevel="0" collapsed="false">
      <c r="A1491" s="47" t="n">
        <v>1490</v>
      </c>
      <c r="B1491" s="39" t="s">
        <v>516</v>
      </c>
      <c r="C1491" s="39" t="s">
        <v>2682</v>
      </c>
      <c r="D1491" s="39" t="s">
        <v>100</v>
      </c>
      <c r="E1491" s="48" t="s">
        <v>2684</v>
      </c>
      <c r="F1491" s="49" t="s">
        <v>514</v>
      </c>
      <c r="G1491" s="39" t="s">
        <v>2878</v>
      </c>
    </row>
    <row r="1492" customFormat="false" ht="18" hidden="false" customHeight="true" outlineLevel="0" collapsed="false">
      <c r="A1492" s="47" t="n">
        <v>1491</v>
      </c>
      <c r="B1492" s="39" t="s">
        <v>516</v>
      </c>
      <c r="C1492" s="39" t="s">
        <v>2682</v>
      </c>
      <c r="D1492" s="39" t="s">
        <v>101</v>
      </c>
      <c r="E1492" s="48" t="s">
        <v>2685</v>
      </c>
      <c r="F1492" s="49" t="s">
        <v>515</v>
      </c>
      <c r="G1492" s="39" t="s">
        <v>2843</v>
      </c>
    </row>
    <row r="1493" customFormat="false" ht="18" hidden="false" customHeight="true" outlineLevel="0" collapsed="false">
      <c r="A1493" s="47" t="n">
        <v>1492</v>
      </c>
      <c r="B1493" s="39" t="s">
        <v>516</v>
      </c>
      <c r="C1493" s="39" t="s">
        <v>2682</v>
      </c>
      <c r="D1493" s="39" t="s">
        <v>102</v>
      </c>
      <c r="E1493" s="48" t="s">
        <v>2399</v>
      </c>
      <c r="F1493" s="49" t="s">
        <v>150</v>
      </c>
      <c r="G1493" s="39" t="s">
        <v>2844</v>
      </c>
    </row>
    <row r="1494" customFormat="false" ht="18" hidden="false" customHeight="true" outlineLevel="0" collapsed="false">
      <c r="A1494" s="47" t="n">
        <v>1493</v>
      </c>
      <c r="B1494" s="39" t="s">
        <v>516</v>
      </c>
      <c r="C1494" s="39" t="s">
        <v>2682</v>
      </c>
      <c r="D1494" s="39" t="s">
        <v>77</v>
      </c>
      <c r="E1494" s="48" t="s">
        <v>1330</v>
      </c>
      <c r="F1494" s="49" t="s">
        <v>80</v>
      </c>
      <c r="G1494" s="39" t="s">
        <v>2863</v>
      </c>
    </row>
    <row r="1495" customFormat="false" ht="18" hidden="false" customHeight="true" outlineLevel="0" collapsed="false">
      <c r="A1495" s="47" t="n">
        <v>1494</v>
      </c>
      <c r="B1495" s="39" t="s">
        <v>516</v>
      </c>
      <c r="C1495" s="39" t="s">
        <v>2682</v>
      </c>
      <c r="D1495" s="39" t="s">
        <v>2845</v>
      </c>
      <c r="E1495" s="48" t="s">
        <v>2686</v>
      </c>
      <c r="F1495" s="49" t="s">
        <v>3415</v>
      </c>
      <c r="G1495" s="39" t="s">
        <v>3315</v>
      </c>
    </row>
    <row r="1496" customFormat="false" ht="18" hidden="false" customHeight="true" outlineLevel="0" collapsed="false">
      <c r="A1496" s="47" t="n">
        <v>1495</v>
      </c>
      <c r="B1496" s="39" t="s">
        <v>516</v>
      </c>
      <c r="C1496" s="39" t="s">
        <v>2682</v>
      </c>
      <c r="D1496" s="39" t="s">
        <v>2848</v>
      </c>
      <c r="E1496" s="48" t="s">
        <v>2641</v>
      </c>
      <c r="F1496" s="49" t="s">
        <v>3227</v>
      </c>
      <c r="G1496" s="39" t="s">
        <v>3315</v>
      </c>
    </row>
    <row r="1497" customFormat="false" ht="18" hidden="false" customHeight="true" outlineLevel="0" collapsed="false">
      <c r="A1497" s="47" t="n">
        <v>1496</v>
      </c>
      <c r="B1497" s="39" t="s">
        <v>516</v>
      </c>
      <c r="C1497" s="39" t="s">
        <v>2682</v>
      </c>
      <c r="D1497" s="39" t="s">
        <v>2850</v>
      </c>
      <c r="E1497" s="48" t="s">
        <v>2687</v>
      </c>
      <c r="F1497" s="49" t="s">
        <v>3416</v>
      </c>
      <c r="G1497" s="39" t="s">
        <v>2852</v>
      </c>
    </row>
    <row r="1498" customFormat="false" ht="18" hidden="false" customHeight="true" outlineLevel="0" collapsed="false">
      <c r="A1498" s="47" t="n">
        <v>1497</v>
      </c>
      <c r="B1498" s="39" t="s">
        <v>516</v>
      </c>
      <c r="C1498" s="39" t="s">
        <v>2682</v>
      </c>
      <c r="D1498" s="39" t="s">
        <v>109</v>
      </c>
      <c r="E1498" s="48" t="s">
        <v>2034</v>
      </c>
      <c r="F1498" s="49" t="s">
        <v>130</v>
      </c>
      <c r="G1498" s="39" t="s">
        <v>2853</v>
      </c>
    </row>
    <row r="1499" customFormat="false" ht="18" hidden="false" customHeight="true" outlineLevel="0" collapsed="false">
      <c r="A1499" s="47" t="n">
        <v>1498</v>
      </c>
      <c r="B1499" s="39" t="s">
        <v>2688</v>
      </c>
      <c r="C1499" s="39" t="s">
        <v>2689</v>
      </c>
      <c r="D1499" s="39" t="s">
        <v>2840</v>
      </c>
      <c r="E1499" s="48" t="s">
        <v>2690</v>
      </c>
      <c r="F1499" s="49" t="s">
        <v>1214</v>
      </c>
      <c r="G1499" s="39" t="s">
        <v>2898</v>
      </c>
    </row>
    <row r="1500" customFormat="false" ht="18" hidden="false" customHeight="true" outlineLevel="0" collapsed="false">
      <c r="A1500" s="47" t="n">
        <v>1499</v>
      </c>
      <c r="B1500" s="39" t="s">
        <v>2688</v>
      </c>
      <c r="C1500" s="39" t="s">
        <v>2689</v>
      </c>
      <c r="D1500" s="39" t="s">
        <v>101</v>
      </c>
      <c r="E1500" s="48" t="s">
        <v>2304</v>
      </c>
      <c r="F1500" s="49" t="s">
        <v>188</v>
      </c>
      <c r="G1500" s="39" t="s">
        <v>2843</v>
      </c>
    </row>
    <row r="1501" customFormat="false" ht="18" hidden="false" customHeight="true" outlineLevel="0" collapsed="false">
      <c r="A1501" s="47" t="n">
        <v>1500</v>
      </c>
      <c r="B1501" s="39" t="s">
        <v>2688</v>
      </c>
      <c r="C1501" s="39" t="s">
        <v>2689</v>
      </c>
      <c r="D1501" s="39" t="s">
        <v>102</v>
      </c>
      <c r="E1501" s="48" t="s">
        <v>1235</v>
      </c>
      <c r="F1501" s="49" t="s">
        <v>120</v>
      </c>
      <c r="G1501" s="39" t="s">
        <v>2844</v>
      </c>
    </row>
    <row r="1502" customFormat="false" ht="18" hidden="false" customHeight="true" outlineLevel="0" collapsed="false">
      <c r="A1502" s="47" t="n">
        <v>1501</v>
      </c>
      <c r="B1502" s="39" t="s">
        <v>2688</v>
      </c>
      <c r="C1502" s="39" t="s">
        <v>2689</v>
      </c>
      <c r="D1502" s="39" t="s">
        <v>2845</v>
      </c>
      <c r="E1502" s="48" t="s">
        <v>2691</v>
      </c>
      <c r="F1502" s="49" t="s">
        <v>3417</v>
      </c>
      <c r="G1502" s="39" t="s">
        <v>3315</v>
      </c>
    </row>
    <row r="1503" customFormat="false" ht="18" hidden="false" customHeight="true" outlineLevel="0" collapsed="false">
      <c r="A1503" s="47" t="n">
        <v>1502</v>
      </c>
      <c r="B1503" s="39" t="s">
        <v>2688</v>
      </c>
      <c r="C1503" s="39" t="s">
        <v>2689</v>
      </c>
      <c r="D1503" s="39" t="s">
        <v>2848</v>
      </c>
      <c r="E1503" s="48" t="s">
        <v>2692</v>
      </c>
      <c r="F1503" s="49" t="s">
        <v>3418</v>
      </c>
      <c r="G1503" s="39" t="s">
        <v>3315</v>
      </c>
    </row>
    <row r="1504" customFormat="false" ht="18" hidden="false" customHeight="true" outlineLevel="0" collapsed="false">
      <c r="A1504" s="47" t="n">
        <v>1503</v>
      </c>
      <c r="B1504" s="39" t="s">
        <v>2688</v>
      </c>
      <c r="C1504" s="39" t="s">
        <v>2689</v>
      </c>
      <c r="D1504" s="39" t="s">
        <v>2850</v>
      </c>
      <c r="E1504" s="48" t="s">
        <v>2693</v>
      </c>
      <c r="F1504" s="49" t="s">
        <v>3419</v>
      </c>
      <c r="G1504" s="39" t="s">
        <v>2852</v>
      </c>
    </row>
    <row r="1505" customFormat="false" ht="18" hidden="false" customHeight="true" outlineLevel="0" collapsed="false">
      <c r="A1505" s="47" t="n">
        <v>1504</v>
      </c>
      <c r="B1505" s="39" t="s">
        <v>2688</v>
      </c>
      <c r="C1505" s="39" t="s">
        <v>2689</v>
      </c>
      <c r="D1505" s="39" t="s">
        <v>109</v>
      </c>
      <c r="E1505" s="48" t="s">
        <v>1140</v>
      </c>
      <c r="F1505" s="49" t="s">
        <v>151</v>
      </c>
      <c r="G1505" s="39" t="s">
        <v>2853</v>
      </c>
    </row>
    <row r="1506" customFormat="false" ht="18" hidden="false" customHeight="true" outlineLevel="0" collapsed="false">
      <c r="A1506" s="47" t="n">
        <v>1505</v>
      </c>
      <c r="B1506" s="39" t="s">
        <v>228</v>
      </c>
      <c r="C1506" s="39" t="s">
        <v>2694</v>
      </c>
      <c r="D1506" s="39" t="s">
        <v>100</v>
      </c>
      <c r="E1506" s="48" t="s">
        <v>2696</v>
      </c>
      <c r="F1506" s="49" t="s">
        <v>226</v>
      </c>
      <c r="G1506" s="39" t="s">
        <v>2870</v>
      </c>
    </row>
    <row r="1507" customFormat="false" ht="18" hidden="false" customHeight="true" outlineLevel="0" collapsed="false">
      <c r="A1507" s="47" t="n">
        <v>1506</v>
      </c>
      <c r="B1507" s="39" t="s">
        <v>228</v>
      </c>
      <c r="C1507" s="39" t="s">
        <v>2694</v>
      </c>
      <c r="D1507" s="39" t="s">
        <v>101</v>
      </c>
      <c r="E1507" s="48" t="s">
        <v>2697</v>
      </c>
      <c r="F1507" s="49" t="s">
        <v>227</v>
      </c>
      <c r="G1507" s="39" t="s">
        <v>2843</v>
      </c>
    </row>
    <row r="1508" customFormat="false" ht="18" hidden="false" customHeight="true" outlineLevel="0" collapsed="false">
      <c r="A1508" s="47" t="n">
        <v>1507</v>
      </c>
      <c r="B1508" s="39" t="s">
        <v>228</v>
      </c>
      <c r="C1508" s="39" t="s">
        <v>2694</v>
      </c>
      <c r="D1508" s="39" t="s">
        <v>102</v>
      </c>
      <c r="E1508" s="48" t="s">
        <v>1482</v>
      </c>
      <c r="F1508" s="49" t="s">
        <v>163</v>
      </c>
      <c r="G1508" s="39" t="s">
        <v>2844</v>
      </c>
    </row>
    <row r="1509" customFormat="false" ht="18" hidden="false" customHeight="true" outlineLevel="0" collapsed="false">
      <c r="A1509" s="47" t="n">
        <v>1508</v>
      </c>
      <c r="B1509" s="39" t="s">
        <v>228</v>
      </c>
      <c r="C1509" s="39" t="s">
        <v>2694</v>
      </c>
      <c r="D1509" s="39" t="s">
        <v>77</v>
      </c>
      <c r="E1509" s="48" t="s">
        <v>1243</v>
      </c>
      <c r="F1509" s="49" t="s">
        <v>79</v>
      </c>
      <c r="G1509" s="39" t="s">
        <v>2863</v>
      </c>
    </row>
    <row r="1510" customFormat="false" ht="18" hidden="false" customHeight="true" outlineLevel="0" collapsed="false">
      <c r="A1510" s="47" t="n">
        <v>1509</v>
      </c>
      <c r="B1510" s="39" t="s">
        <v>228</v>
      </c>
      <c r="C1510" s="39" t="s">
        <v>2694</v>
      </c>
      <c r="D1510" s="39" t="s">
        <v>2845</v>
      </c>
      <c r="E1510" s="48" t="s">
        <v>2698</v>
      </c>
      <c r="F1510" s="49" t="s">
        <v>3420</v>
      </c>
      <c r="G1510" s="39" t="s">
        <v>3315</v>
      </c>
    </row>
    <row r="1511" customFormat="false" ht="18" hidden="false" customHeight="true" outlineLevel="0" collapsed="false">
      <c r="A1511" s="47" t="n">
        <v>1510</v>
      </c>
      <c r="B1511" s="39" t="s">
        <v>228</v>
      </c>
      <c r="C1511" s="39" t="s">
        <v>2694</v>
      </c>
      <c r="D1511" s="39" t="s">
        <v>2848</v>
      </c>
      <c r="E1511" s="48" t="s">
        <v>2367</v>
      </c>
      <c r="F1511" s="49" t="s">
        <v>3314</v>
      </c>
      <c r="G1511" s="39" t="s">
        <v>3315</v>
      </c>
    </row>
    <row r="1512" customFormat="false" ht="18" hidden="false" customHeight="true" outlineLevel="0" collapsed="false">
      <c r="A1512" s="47" t="n">
        <v>1511</v>
      </c>
      <c r="B1512" s="39" t="s">
        <v>228</v>
      </c>
      <c r="C1512" s="39" t="s">
        <v>2694</v>
      </c>
      <c r="D1512" s="39" t="s">
        <v>2850</v>
      </c>
      <c r="E1512" s="48" t="s">
        <v>2699</v>
      </c>
      <c r="F1512" s="49" t="s">
        <v>3421</v>
      </c>
      <c r="G1512" s="39" t="s">
        <v>2852</v>
      </c>
    </row>
    <row r="1513" customFormat="false" ht="18" hidden="false" customHeight="true" outlineLevel="0" collapsed="false">
      <c r="A1513" s="47" t="n">
        <v>1512</v>
      </c>
      <c r="B1513" s="39" t="s">
        <v>228</v>
      </c>
      <c r="C1513" s="39" t="s">
        <v>2694</v>
      </c>
      <c r="D1513" s="39" t="s">
        <v>109</v>
      </c>
      <c r="E1513" s="48" t="s">
        <v>2034</v>
      </c>
      <c r="F1513" s="49" t="s">
        <v>130</v>
      </c>
      <c r="G1513" s="39" t="s">
        <v>2853</v>
      </c>
    </row>
    <row r="1514" customFormat="false" ht="18" hidden="false" customHeight="true" outlineLevel="0" collapsed="false">
      <c r="A1514" s="47" t="n">
        <v>1513</v>
      </c>
      <c r="B1514" s="39" t="s">
        <v>2700</v>
      </c>
      <c r="C1514" s="39" t="s">
        <v>2701</v>
      </c>
      <c r="D1514" s="39" t="s">
        <v>102</v>
      </c>
      <c r="E1514" s="48" t="s">
        <v>1564</v>
      </c>
      <c r="F1514" s="49" t="s">
        <v>120</v>
      </c>
      <c r="G1514" s="39" t="s">
        <v>2844</v>
      </c>
    </row>
    <row r="1515" customFormat="false" ht="18" hidden="false" customHeight="true" outlineLevel="0" collapsed="false">
      <c r="A1515" s="47" t="n">
        <v>1514</v>
      </c>
      <c r="B1515" s="39" t="s">
        <v>2700</v>
      </c>
      <c r="C1515" s="39" t="s">
        <v>2701</v>
      </c>
      <c r="D1515" s="39" t="s">
        <v>2845</v>
      </c>
      <c r="E1515" s="48" t="s">
        <v>2703</v>
      </c>
      <c r="F1515" s="49" t="s">
        <v>3422</v>
      </c>
      <c r="G1515" s="39" t="s">
        <v>3315</v>
      </c>
    </row>
    <row r="1516" customFormat="false" ht="18" hidden="false" customHeight="true" outlineLevel="0" collapsed="false">
      <c r="A1516" s="47" t="n">
        <v>1515</v>
      </c>
      <c r="B1516" s="39" t="s">
        <v>2700</v>
      </c>
      <c r="C1516" s="39" t="s">
        <v>2701</v>
      </c>
      <c r="D1516" s="39" t="s">
        <v>2848</v>
      </c>
      <c r="E1516" s="48" t="s">
        <v>2704</v>
      </c>
      <c r="F1516" s="49" t="s">
        <v>3423</v>
      </c>
      <c r="G1516" s="39" t="s">
        <v>3315</v>
      </c>
    </row>
    <row r="1517" customFormat="false" ht="18" hidden="false" customHeight="true" outlineLevel="0" collapsed="false">
      <c r="A1517" s="47" t="n">
        <v>1516</v>
      </c>
      <c r="B1517" s="39" t="s">
        <v>2700</v>
      </c>
      <c r="C1517" s="39" t="s">
        <v>2701</v>
      </c>
      <c r="D1517" s="39" t="s">
        <v>2850</v>
      </c>
      <c r="E1517" s="48" t="s">
        <v>2705</v>
      </c>
      <c r="F1517" s="49" t="s">
        <v>3424</v>
      </c>
      <c r="G1517" s="39" t="s">
        <v>2852</v>
      </c>
    </row>
    <row r="1518" customFormat="false" ht="18" hidden="false" customHeight="true" outlineLevel="0" collapsed="false">
      <c r="A1518" s="47" t="n">
        <v>1517</v>
      </c>
      <c r="B1518" s="39" t="s">
        <v>2700</v>
      </c>
      <c r="C1518" s="39" t="s">
        <v>2701</v>
      </c>
      <c r="D1518" s="39" t="s">
        <v>109</v>
      </c>
      <c r="E1518" s="48" t="s">
        <v>1140</v>
      </c>
      <c r="F1518" s="49" t="s">
        <v>151</v>
      </c>
      <c r="G1518" s="39" t="s">
        <v>2853</v>
      </c>
    </row>
    <row r="1519" customFormat="false" ht="18" hidden="false" customHeight="true" outlineLevel="0" collapsed="false">
      <c r="A1519" s="47" t="n">
        <v>1518</v>
      </c>
      <c r="B1519" s="39" t="s">
        <v>814</v>
      </c>
      <c r="C1519" s="39" t="s">
        <v>2706</v>
      </c>
      <c r="D1519" s="39" t="s">
        <v>2840</v>
      </c>
      <c r="E1519" s="48" t="s">
        <v>2707</v>
      </c>
      <c r="F1519" s="49" t="s">
        <v>3425</v>
      </c>
      <c r="G1519" s="39" t="s">
        <v>2898</v>
      </c>
    </row>
    <row r="1520" customFormat="false" ht="18" hidden="false" customHeight="true" outlineLevel="0" collapsed="false">
      <c r="A1520" s="47" t="n">
        <v>1519</v>
      </c>
      <c r="B1520" s="39" t="s">
        <v>814</v>
      </c>
      <c r="C1520" s="39" t="s">
        <v>2706</v>
      </c>
      <c r="D1520" s="39" t="s">
        <v>101</v>
      </c>
      <c r="E1520" s="48" t="s">
        <v>2708</v>
      </c>
      <c r="F1520" s="49" t="s">
        <v>813</v>
      </c>
      <c r="G1520" s="39" t="s">
        <v>2843</v>
      </c>
    </row>
    <row r="1521" customFormat="false" ht="18" hidden="false" customHeight="true" outlineLevel="0" collapsed="false">
      <c r="A1521" s="47" t="n">
        <v>1520</v>
      </c>
      <c r="B1521" s="39" t="s">
        <v>814</v>
      </c>
      <c r="C1521" s="39" t="s">
        <v>2706</v>
      </c>
      <c r="D1521" s="39" t="s">
        <v>102</v>
      </c>
      <c r="E1521" s="48" t="s">
        <v>81</v>
      </c>
      <c r="F1521" s="49" t="s">
        <v>257</v>
      </c>
      <c r="G1521" s="39" t="s">
        <v>2844</v>
      </c>
    </row>
    <row r="1522" customFormat="false" ht="18" hidden="false" customHeight="true" outlineLevel="0" collapsed="false">
      <c r="A1522" s="47" t="n">
        <v>1521</v>
      </c>
      <c r="B1522" s="39" t="s">
        <v>814</v>
      </c>
      <c r="C1522" s="39" t="s">
        <v>2706</v>
      </c>
      <c r="D1522" s="39" t="s">
        <v>77</v>
      </c>
      <c r="E1522" s="48" t="s">
        <v>1489</v>
      </c>
      <c r="F1522" s="49" t="s">
        <v>81</v>
      </c>
      <c r="G1522" s="39" t="s">
        <v>2863</v>
      </c>
    </row>
    <row r="1523" customFormat="false" ht="18" hidden="false" customHeight="true" outlineLevel="0" collapsed="false">
      <c r="A1523" s="47" t="n">
        <v>1522</v>
      </c>
      <c r="B1523" s="39" t="s">
        <v>814</v>
      </c>
      <c r="C1523" s="39" t="s">
        <v>2706</v>
      </c>
      <c r="D1523" s="39" t="s">
        <v>2845</v>
      </c>
      <c r="E1523" s="48" t="s">
        <v>2709</v>
      </c>
      <c r="F1523" s="49" t="s">
        <v>3426</v>
      </c>
      <c r="G1523" s="39" t="s">
        <v>3315</v>
      </c>
    </row>
    <row r="1524" customFormat="false" ht="18" hidden="false" customHeight="true" outlineLevel="0" collapsed="false">
      <c r="A1524" s="47" t="n">
        <v>1523</v>
      </c>
      <c r="B1524" s="39" t="s">
        <v>814</v>
      </c>
      <c r="C1524" s="39" t="s">
        <v>2706</v>
      </c>
      <c r="D1524" s="39" t="s">
        <v>2848</v>
      </c>
      <c r="E1524" s="48" t="s">
        <v>2710</v>
      </c>
      <c r="F1524" s="49" t="s">
        <v>3427</v>
      </c>
      <c r="G1524" s="39" t="s">
        <v>3315</v>
      </c>
    </row>
    <row r="1525" customFormat="false" ht="18" hidden="false" customHeight="true" outlineLevel="0" collapsed="false">
      <c r="A1525" s="47" t="n">
        <v>1524</v>
      </c>
      <c r="B1525" s="39" t="s">
        <v>814</v>
      </c>
      <c r="C1525" s="39" t="s">
        <v>2706</v>
      </c>
      <c r="D1525" s="39" t="s">
        <v>2850</v>
      </c>
      <c r="E1525" s="48" t="s">
        <v>2711</v>
      </c>
      <c r="F1525" s="49" t="s">
        <v>3428</v>
      </c>
      <c r="G1525" s="39" t="s">
        <v>2852</v>
      </c>
    </row>
    <row r="1526" customFormat="false" ht="18" hidden="false" customHeight="true" outlineLevel="0" collapsed="false">
      <c r="A1526" s="47" t="n">
        <v>1525</v>
      </c>
      <c r="B1526" s="39" t="s">
        <v>814</v>
      </c>
      <c r="C1526" s="39" t="s">
        <v>2706</v>
      </c>
      <c r="D1526" s="39" t="s">
        <v>109</v>
      </c>
      <c r="E1526" s="48" t="s">
        <v>1851</v>
      </c>
      <c r="F1526" s="49" t="s">
        <v>151</v>
      </c>
      <c r="G1526" s="39" t="s">
        <v>2853</v>
      </c>
    </row>
    <row r="1527" customFormat="false" ht="18" hidden="false" customHeight="true" outlineLevel="0" collapsed="false">
      <c r="A1527" s="47" t="n">
        <v>1526</v>
      </c>
      <c r="B1527" s="39" t="s">
        <v>2712</v>
      </c>
      <c r="C1527" s="39" t="s">
        <v>2713</v>
      </c>
      <c r="D1527" s="39" t="s">
        <v>2840</v>
      </c>
      <c r="E1527" s="48" t="s">
        <v>2714</v>
      </c>
      <c r="F1527" s="49" t="s">
        <v>1822</v>
      </c>
      <c r="G1527" s="39" t="s">
        <v>2898</v>
      </c>
    </row>
    <row r="1528" customFormat="false" ht="18" hidden="false" customHeight="true" outlineLevel="0" collapsed="false">
      <c r="A1528" s="47" t="n">
        <v>1527</v>
      </c>
      <c r="B1528" s="39" t="s">
        <v>2712</v>
      </c>
      <c r="C1528" s="39" t="s">
        <v>2713</v>
      </c>
      <c r="D1528" s="39" t="s">
        <v>101</v>
      </c>
      <c r="E1528" s="48" t="s">
        <v>1823</v>
      </c>
      <c r="F1528" s="49" t="s">
        <v>1040</v>
      </c>
      <c r="G1528" s="39" t="s">
        <v>2843</v>
      </c>
    </row>
    <row r="1529" customFormat="false" ht="18" hidden="false" customHeight="true" outlineLevel="0" collapsed="false">
      <c r="A1529" s="47" t="n">
        <v>1528</v>
      </c>
      <c r="B1529" s="39" t="s">
        <v>2712</v>
      </c>
      <c r="C1529" s="39" t="s">
        <v>2713</v>
      </c>
      <c r="D1529" s="39" t="s">
        <v>77</v>
      </c>
      <c r="E1529" s="48" t="s">
        <v>1243</v>
      </c>
      <c r="F1529" s="49" t="s">
        <v>79</v>
      </c>
      <c r="G1529" s="39" t="s">
        <v>2863</v>
      </c>
    </row>
    <row r="1530" customFormat="false" ht="18" hidden="false" customHeight="true" outlineLevel="0" collapsed="false">
      <c r="A1530" s="47" t="n">
        <v>1529</v>
      </c>
      <c r="B1530" s="39" t="s">
        <v>2712</v>
      </c>
      <c r="C1530" s="39" t="s">
        <v>2713</v>
      </c>
      <c r="D1530" s="39" t="s">
        <v>2845</v>
      </c>
      <c r="E1530" s="48" t="s">
        <v>2411</v>
      </c>
      <c r="F1530" s="49" t="s">
        <v>1865</v>
      </c>
      <c r="G1530" s="39" t="s">
        <v>3315</v>
      </c>
    </row>
    <row r="1531" customFormat="false" ht="18" hidden="false" customHeight="true" outlineLevel="0" collapsed="false">
      <c r="A1531" s="47" t="n">
        <v>1530</v>
      </c>
      <c r="B1531" s="39" t="s">
        <v>2712</v>
      </c>
      <c r="C1531" s="39" t="s">
        <v>2713</v>
      </c>
      <c r="D1531" s="39" t="s">
        <v>2848</v>
      </c>
      <c r="E1531" s="48" t="s">
        <v>2715</v>
      </c>
      <c r="F1531" s="49" t="s">
        <v>3152</v>
      </c>
      <c r="G1531" s="39" t="s">
        <v>3315</v>
      </c>
    </row>
    <row r="1532" customFormat="false" ht="18" hidden="false" customHeight="true" outlineLevel="0" collapsed="false">
      <c r="A1532" s="47" t="n">
        <v>1531</v>
      </c>
      <c r="B1532" s="39" t="s">
        <v>2712</v>
      </c>
      <c r="C1532" s="39" t="s">
        <v>2713</v>
      </c>
      <c r="D1532" s="39" t="s">
        <v>2850</v>
      </c>
      <c r="E1532" s="48" t="s">
        <v>2716</v>
      </c>
      <c r="F1532" s="49" t="s">
        <v>1827</v>
      </c>
      <c r="G1532" s="39" t="s">
        <v>2852</v>
      </c>
    </row>
    <row r="1533" customFormat="false" ht="18" hidden="false" customHeight="true" outlineLevel="0" collapsed="false">
      <c r="A1533" s="47" t="n">
        <v>1532</v>
      </c>
      <c r="B1533" s="39" t="s">
        <v>2712</v>
      </c>
      <c r="C1533" s="39" t="s">
        <v>2713</v>
      </c>
      <c r="D1533" s="39" t="s">
        <v>109</v>
      </c>
      <c r="E1533" s="48" t="s">
        <v>2034</v>
      </c>
      <c r="F1533" s="49" t="s">
        <v>130</v>
      </c>
      <c r="G1533" s="39" t="s">
        <v>2853</v>
      </c>
    </row>
    <row r="1534" customFormat="false" ht="18" hidden="false" customHeight="true" outlineLevel="0" collapsed="false">
      <c r="A1534" s="47" t="n">
        <v>1533</v>
      </c>
      <c r="B1534" s="39" t="s">
        <v>2717</v>
      </c>
      <c r="C1534" s="39" t="s">
        <v>2718</v>
      </c>
      <c r="D1534" s="39" t="s">
        <v>2840</v>
      </c>
      <c r="E1534" s="48" t="s">
        <v>2719</v>
      </c>
      <c r="F1534" s="49" t="s">
        <v>1355</v>
      </c>
      <c r="G1534" s="39" t="s">
        <v>2898</v>
      </c>
    </row>
    <row r="1535" customFormat="false" ht="18" hidden="false" customHeight="true" outlineLevel="0" collapsed="false">
      <c r="A1535" s="47" t="n">
        <v>1534</v>
      </c>
      <c r="B1535" s="39" t="s">
        <v>2717</v>
      </c>
      <c r="C1535" s="39" t="s">
        <v>2718</v>
      </c>
      <c r="D1535" s="39" t="s">
        <v>100</v>
      </c>
      <c r="E1535" s="48" t="s">
        <v>2720</v>
      </c>
      <c r="F1535" s="49" t="s">
        <v>656</v>
      </c>
      <c r="G1535" s="39" t="s">
        <v>2878</v>
      </c>
    </row>
    <row r="1536" customFormat="false" ht="18" hidden="false" customHeight="true" outlineLevel="0" collapsed="false">
      <c r="A1536" s="47" t="n">
        <v>1535</v>
      </c>
      <c r="B1536" s="39" t="s">
        <v>2717</v>
      </c>
      <c r="C1536" s="39" t="s">
        <v>2718</v>
      </c>
      <c r="D1536" s="39" t="s">
        <v>101</v>
      </c>
      <c r="E1536" s="48" t="s">
        <v>2721</v>
      </c>
      <c r="F1536" s="49" t="s">
        <v>657</v>
      </c>
      <c r="G1536" s="39" t="s">
        <v>2843</v>
      </c>
    </row>
    <row r="1537" customFormat="false" ht="18" hidden="false" customHeight="true" outlineLevel="0" collapsed="false">
      <c r="A1537" s="47" t="n">
        <v>1536</v>
      </c>
      <c r="B1537" s="39" t="s">
        <v>2717</v>
      </c>
      <c r="C1537" s="39" t="s">
        <v>2718</v>
      </c>
      <c r="D1537" s="39" t="s">
        <v>102</v>
      </c>
      <c r="E1537" s="48" t="s">
        <v>1863</v>
      </c>
      <c r="F1537" s="49" t="s">
        <v>257</v>
      </c>
      <c r="G1537" s="39" t="s">
        <v>2844</v>
      </c>
    </row>
    <row r="1538" customFormat="false" ht="18" hidden="false" customHeight="true" outlineLevel="0" collapsed="false">
      <c r="A1538" s="47" t="n">
        <v>1537</v>
      </c>
      <c r="B1538" s="39" t="s">
        <v>2717</v>
      </c>
      <c r="C1538" s="39" t="s">
        <v>2718</v>
      </c>
      <c r="D1538" s="39" t="s">
        <v>77</v>
      </c>
      <c r="E1538" s="48" t="s">
        <v>1489</v>
      </c>
      <c r="F1538" s="49" t="s">
        <v>81</v>
      </c>
      <c r="G1538" s="39" t="s">
        <v>2863</v>
      </c>
    </row>
    <row r="1539" customFormat="false" ht="18" hidden="false" customHeight="true" outlineLevel="0" collapsed="false">
      <c r="A1539" s="47" t="n">
        <v>1538</v>
      </c>
      <c r="B1539" s="39" t="s">
        <v>2717</v>
      </c>
      <c r="C1539" s="39" t="s">
        <v>2718</v>
      </c>
      <c r="D1539" s="39" t="s">
        <v>2845</v>
      </c>
      <c r="E1539" s="48" t="s">
        <v>2722</v>
      </c>
      <c r="F1539" s="49" t="s">
        <v>3429</v>
      </c>
      <c r="G1539" s="39" t="s">
        <v>3315</v>
      </c>
    </row>
    <row r="1540" customFormat="false" ht="18" hidden="false" customHeight="true" outlineLevel="0" collapsed="false">
      <c r="A1540" s="47" t="n">
        <v>1539</v>
      </c>
      <c r="B1540" s="39" t="s">
        <v>2717</v>
      </c>
      <c r="C1540" s="39" t="s">
        <v>2718</v>
      </c>
      <c r="D1540" s="39" t="s">
        <v>2848</v>
      </c>
      <c r="E1540" s="48" t="s">
        <v>2723</v>
      </c>
      <c r="F1540" s="49" t="s">
        <v>3430</v>
      </c>
      <c r="G1540" s="39" t="s">
        <v>3315</v>
      </c>
    </row>
    <row r="1541" customFormat="false" ht="18" hidden="false" customHeight="true" outlineLevel="0" collapsed="false">
      <c r="A1541" s="47" t="n">
        <v>1540</v>
      </c>
      <c r="B1541" s="39" t="s">
        <v>2717</v>
      </c>
      <c r="C1541" s="39" t="s">
        <v>2718</v>
      </c>
      <c r="D1541" s="39" t="s">
        <v>109</v>
      </c>
      <c r="E1541" s="48" t="s">
        <v>1851</v>
      </c>
      <c r="F1541" s="49" t="s">
        <v>151</v>
      </c>
      <c r="G1541" s="39" t="s">
        <v>2853</v>
      </c>
    </row>
    <row r="1542" customFormat="false" ht="18" hidden="false" customHeight="true" outlineLevel="0" collapsed="false">
      <c r="A1542" s="47" t="n">
        <v>1541</v>
      </c>
      <c r="B1542" s="39" t="s">
        <v>462</v>
      </c>
      <c r="C1542" s="39" t="s">
        <v>2725</v>
      </c>
      <c r="D1542" s="39" t="s">
        <v>101</v>
      </c>
      <c r="E1542" s="48" t="s">
        <v>2727</v>
      </c>
      <c r="F1542" s="49" t="s">
        <v>461</v>
      </c>
      <c r="G1542" s="39" t="s">
        <v>2843</v>
      </c>
    </row>
    <row r="1543" customFormat="false" ht="18" hidden="false" customHeight="true" outlineLevel="0" collapsed="false">
      <c r="A1543" s="47" t="n">
        <v>1542</v>
      </c>
      <c r="B1543" s="39" t="s">
        <v>462</v>
      </c>
      <c r="C1543" s="39" t="s">
        <v>2725</v>
      </c>
      <c r="D1543" s="39" t="s">
        <v>77</v>
      </c>
      <c r="E1543" s="48" t="s">
        <v>1216</v>
      </c>
      <c r="F1543" s="49" t="s">
        <v>80</v>
      </c>
      <c r="G1543" s="39" t="s">
        <v>2863</v>
      </c>
    </row>
    <row r="1544" customFormat="false" ht="18" hidden="false" customHeight="true" outlineLevel="0" collapsed="false">
      <c r="A1544" s="47" t="n">
        <v>1543</v>
      </c>
      <c r="B1544" s="39" t="s">
        <v>462</v>
      </c>
      <c r="C1544" s="39" t="s">
        <v>2725</v>
      </c>
      <c r="D1544" s="39" t="s">
        <v>2845</v>
      </c>
      <c r="E1544" s="48" t="s">
        <v>2728</v>
      </c>
      <c r="F1544" s="49" t="s">
        <v>3431</v>
      </c>
      <c r="G1544" s="39" t="s">
        <v>3315</v>
      </c>
    </row>
    <row r="1545" customFormat="false" ht="18" hidden="false" customHeight="true" outlineLevel="0" collapsed="false">
      <c r="A1545" s="47" t="n">
        <v>1544</v>
      </c>
      <c r="B1545" s="39" t="s">
        <v>462</v>
      </c>
      <c r="C1545" s="39" t="s">
        <v>2725</v>
      </c>
      <c r="D1545" s="39" t="s">
        <v>2848</v>
      </c>
      <c r="E1545" s="48" t="s">
        <v>2729</v>
      </c>
      <c r="F1545" s="49" t="s">
        <v>3226</v>
      </c>
      <c r="G1545" s="39" t="s">
        <v>3315</v>
      </c>
    </row>
    <row r="1546" customFormat="false" ht="18" hidden="false" customHeight="true" outlineLevel="0" collapsed="false">
      <c r="A1546" s="47" t="n">
        <v>1545</v>
      </c>
      <c r="B1546" s="39" t="s">
        <v>462</v>
      </c>
      <c r="C1546" s="39" t="s">
        <v>2725</v>
      </c>
      <c r="D1546" s="39" t="s">
        <v>2850</v>
      </c>
      <c r="E1546" s="48" t="s">
        <v>2730</v>
      </c>
      <c r="F1546" s="49" t="s">
        <v>3432</v>
      </c>
      <c r="G1546" s="39" t="s">
        <v>2852</v>
      </c>
    </row>
    <row r="1547" customFormat="false" ht="18" hidden="false" customHeight="true" outlineLevel="0" collapsed="false">
      <c r="A1547" s="47" t="n">
        <v>1546</v>
      </c>
      <c r="B1547" s="39" t="s">
        <v>462</v>
      </c>
      <c r="C1547" s="39" t="s">
        <v>2725</v>
      </c>
      <c r="D1547" s="39" t="s">
        <v>109</v>
      </c>
      <c r="E1547" s="48" t="s">
        <v>1851</v>
      </c>
      <c r="F1547" s="49" t="s">
        <v>151</v>
      </c>
      <c r="G1547" s="39" t="s">
        <v>2853</v>
      </c>
    </row>
    <row r="1548" customFormat="false" ht="18" hidden="false" customHeight="true" outlineLevel="0" collapsed="false">
      <c r="A1548" s="47" t="n">
        <v>1547</v>
      </c>
      <c r="B1548" s="39" t="s">
        <v>2731</v>
      </c>
      <c r="C1548" s="39" t="s">
        <v>2732</v>
      </c>
      <c r="D1548" s="39" t="s">
        <v>101</v>
      </c>
      <c r="E1548" s="48" t="s">
        <v>2733</v>
      </c>
      <c r="F1548" s="49" t="s">
        <v>555</v>
      </c>
      <c r="G1548" s="39" t="s">
        <v>2843</v>
      </c>
    </row>
    <row r="1549" customFormat="false" ht="18" hidden="false" customHeight="true" outlineLevel="0" collapsed="false">
      <c r="A1549" s="47" t="n">
        <v>1548</v>
      </c>
      <c r="B1549" s="39" t="s">
        <v>2731</v>
      </c>
      <c r="C1549" s="39" t="s">
        <v>2732</v>
      </c>
      <c r="D1549" s="39" t="s">
        <v>102</v>
      </c>
      <c r="E1549" s="48" t="s">
        <v>1824</v>
      </c>
      <c r="F1549" s="49" t="s">
        <v>128</v>
      </c>
      <c r="G1549" s="39" t="s">
        <v>2844</v>
      </c>
    </row>
    <row r="1550" customFormat="false" ht="18" hidden="false" customHeight="true" outlineLevel="0" collapsed="false">
      <c r="A1550" s="47" t="n">
        <v>1549</v>
      </c>
      <c r="B1550" s="39" t="s">
        <v>2731</v>
      </c>
      <c r="C1550" s="39" t="s">
        <v>2732</v>
      </c>
      <c r="D1550" s="39" t="s">
        <v>77</v>
      </c>
      <c r="E1550" s="48" t="s">
        <v>1243</v>
      </c>
      <c r="F1550" s="49" t="s">
        <v>79</v>
      </c>
      <c r="G1550" s="39" t="s">
        <v>2863</v>
      </c>
    </row>
    <row r="1551" customFormat="false" ht="18" hidden="false" customHeight="true" outlineLevel="0" collapsed="false">
      <c r="A1551" s="47" t="n">
        <v>1550</v>
      </c>
      <c r="B1551" s="39" t="s">
        <v>2731</v>
      </c>
      <c r="C1551" s="39" t="s">
        <v>2732</v>
      </c>
      <c r="D1551" s="39" t="s">
        <v>2845</v>
      </c>
      <c r="E1551" s="48" t="s">
        <v>2734</v>
      </c>
      <c r="F1551" s="49" t="s">
        <v>3433</v>
      </c>
      <c r="G1551" s="39" t="s">
        <v>3315</v>
      </c>
    </row>
    <row r="1552" customFormat="false" ht="18" hidden="false" customHeight="true" outlineLevel="0" collapsed="false">
      <c r="A1552" s="47" t="n">
        <v>1551</v>
      </c>
      <c r="B1552" s="39" t="s">
        <v>2731</v>
      </c>
      <c r="C1552" s="39" t="s">
        <v>2732</v>
      </c>
      <c r="D1552" s="39" t="s">
        <v>2848</v>
      </c>
      <c r="E1552" s="48" t="s">
        <v>2735</v>
      </c>
      <c r="F1552" s="49" t="s">
        <v>3434</v>
      </c>
      <c r="G1552" s="39" t="s">
        <v>3315</v>
      </c>
    </row>
    <row r="1553" customFormat="false" ht="18" hidden="false" customHeight="true" outlineLevel="0" collapsed="false">
      <c r="A1553" s="47" t="n">
        <v>1552</v>
      </c>
      <c r="B1553" s="39" t="s">
        <v>2731</v>
      </c>
      <c r="C1553" s="39" t="s">
        <v>2732</v>
      </c>
      <c r="D1553" s="39" t="s">
        <v>2850</v>
      </c>
      <c r="E1553" s="48" t="s">
        <v>2736</v>
      </c>
      <c r="F1553" s="49" t="s">
        <v>3435</v>
      </c>
      <c r="G1553" s="39" t="s">
        <v>2852</v>
      </c>
    </row>
    <row r="1554" customFormat="false" ht="18" hidden="false" customHeight="true" outlineLevel="0" collapsed="false">
      <c r="A1554" s="47" t="n">
        <v>1553</v>
      </c>
      <c r="B1554" s="39" t="s">
        <v>2731</v>
      </c>
      <c r="C1554" s="39" t="s">
        <v>2732</v>
      </c>
      <c r="D1554" s="39" t="s">
        <v>109</v>
      </c>
      <c r="E1554" s="48" t="s">
        <v>1140</v>
      </c>
      <c r="F1554" s="49" t="s">
        <v>151</v>
      </c>
      <c r="G1554" s="39" t="s">
        <v>2853</v>
      </c>
    </row>
    <row r="1555" customFormat="false" ht="18" hidden="false" customHeight="true" outlineLevel="0" collapsed="false">
      <c r="A1555" s="47" t="n">
        <v>1554</v>
      </c>
      <c r="B1555" s="39" t="s">
        <v>2737</v>
      </c>
      <c r="C1555" s="39" t="s">
        <v>2738</v>
      </c>
      <c r="D1555" s="39" t="s">
        <v>101</v>
      </c>
      <c r="E1555" s="48" t="s">
        <v>2739</v>
      </c>
      <c r="F1555" s="49" t="s">
        <v>535</v>
      </c>
      <c r="G1555" s="39" t="s">
        <v>2843</v>
      </c>
    </row>
    <row r="1556" customFormat="false" ht="18" hidden="false" customHeight="true" outlineLevel="0" collapsed="false">
      <c r="A1556" s="47" t="n">
        <v>1555</v>
      </c>
      <c r="B1556" s="39" t="s">
        <v>2737</v>
      </c>
      <c r="C1556" s="39" t="s">
        <v>2738</v>
      </c>
      <c r="D1556" s="39" t="s">
        <v>102</v>
      </c>
      <c r="E1556" s="48" t="s">
        <v>1298</v>
      </c>
      <c r="F1556" s="49" t="s">
        <v>324</v>
      </c>
      <c r="G1556" s="39" t="s">
        <v>2844</v>
      </c>
    </row>
    <row r="1557" customFormat="false" ht="18" hidden="false" customHeight="true" outlineLevel="0" collapsed="false">
      <c r="A1557" s="47" t="n">
        <v>1556</v>
      </c>
      <c r="B1557" s="39" t="s">
        <v>2737</v>
      </c>
      <c r="C1557" s="39" t="s">
        <v>2738</v>
      </c>
      <c r="D1557" s="39" t="s">
        <v>77</v>
      </c>
      <c r="E1557" s="48" t="s">
        <v>1216</v>
      </c>
      <c r="F1557" s="49" t="s">
        <v>80</v>
      </c>
      <c r="G1557" s="39" t="s">
        <v>2863</v>
      </c>
    </row>
    <row r="1558" customFormat="false" ht="18" hidden="false" customHeight="true" outlineLevel="0" collapsed="false">
      <c r="A1558" s="47" t="n">
        <v>1557</v>
      </c>
      <c r="B1558" s="39" t="s">
        <v>2737</v>
      </c>
      <c r="C1558" s="39" t="s">
        <v>2738</v>
      </c>
      <c r="D1558" s="39" t="s">
        <v>2845</v>
      </c>
      <c r="E1558" s="48" t="s">
        <v>2667</v>
      </c>
      <c r="F1558" s="49" t="s">
        <v>3408</v>
      </c>
      <c r="G1558" s="39" t="s">
        <v>3315</v>
      </c>
    </row>
    <row r="1559" customFormat="false" ht="18" hidden="false" customHeight="true" outlineLevel="0" collapsed="false">
      <c r="A1559" s="47" t="n">
        <v>1558</v>
      </c>
      <c r="B1559" s="39" t="s">
        <v>2737</v>
      </c>
      <c r="C1559" s="39" t="s">
        <v>2738</v>
      </c>
      <c r="D1559" s="39" t="s">
        <v>2848</v>
      </c>
      <c r="E1559" s="48" t="s">
        <v>2740</v>
      </c>
      <c r="F1559" s="49" t="s">
        <v>3138</v>
      </c>
      <c r="G1559" s="39" t="s">
        <v>3315</v>
      </c>
    </row>
    <row r="1560" customFormat="false" ht="18" hidden="false" customHeight="true" outlineLevel="0" collapsed="false">
      <c r="A1560" s="47" t="n">
        <v>1559</v>
      </c>
      <c r="B1560" s="39" t="s">
        <v>2737</v>
      </c>
      <c r="C1560" s="39" t="s">
        <v>2738</v>
      </c>
      <c r="D1560" s="39" t="s">
        <v>109</v>
      </c>
      <c r="E1560" s="48" t="s">
        <v>2034</v>
      </c>
      <c r="F1560" s="49" t="s">
        <v>130</v>
      </c>
      <c r="G1560" s="39" t="s">
        <v>2853</v>
      </c>
    </row>
    <row r="1561" customFormat="false" ht="18" hidden="false" customHeight="true" outlineLevel="0" collapsed="false">
      <c r="A1561" s="47" t="n">
        <v>1560</v>
      </c>
      <c r="B1561" s="39" t="s">
        <v>690</v>
      </c>
      <c r="C1561" s="39" t="s">
        <v>2742</v>
      </c>
      <c r="D1561" s="39" t="s">
        <v>101</v>
      </c>
      <c r="E1561" s="48" t="s">
        <v>2744</v>
      </c>
      <c r="F1561" s="49" t="s">
        <v>689</v>
      </c>
      <c r="G1561" s="39" t="s">
        <v>2843</v>
      </c>
    </row>
    <row r="1562" customFormat="false" ht="18" hidden="false" customHeight="true" outlineLevel="0" collapsed="false">
      <c r="A1562" s="47" t="n">
        <v>1561</v>
      </c>
      <c r="B1562" s="39" t="s">
        <v>690</v>
      </c>
      <c r="C1562" s="39" t="s">
        <v>2742</v>
      </c>
      <c r="D1562" s="39" t="s">
        <v>2845</v>
      </c>
      <c r="E1562" s="48" t="s">
        <v>2745</v>
      </c>
      <c r="F1562" s="49" t="s">
        <v>3436</v>
      </c>
      <c r="G1562" s="39" t="s">
        <v>3315</v>
      </c>
    </row>
    <row r="1563" customFormat="false" ht="18" hidden="false" customHeight="true" outlineLevel="0" collapsed="false">
      <c r="A1563" s="47" t="n">
        <v>1562</v>
      </c>
      <c r="B1563" s="39" t="s">
        <v>690</v>
      </c>
      <c r="C1563" s="39" t="s">
        <v>2742</v>
      </c>
      <c r="D1563" s="39" t="s">
        <v>2848</v>
      </c>
      <c r="E1563" s="48" t="s">
        <v>2746</v>
      </c>
      <c r="F1563" s="49" t="s">
        <v>3437</v>
      </c>
      <c r="G1563" s="39" t="s">
        <v>3315</v>
      </c>
    </row>
    <row r="1564" customFormat="false" ht="18" hidden="false" customHeight="true" outlineLevel="0" collapsed="false">
      <c r="A1564" s="47" t="n">
        <v>1563</v>
      </c>
      <c r="B1564" s="39" t="s">
        <v>690</v>
      </c>
      <c r="C1564" s="39" t="s">
        <v>2742</v>
      </c>
      <c r="D1564" s="39" t="s">
        <v>2850</v>
      </c>
      <c r="E1564" s="48" t="s">
        <v>2747</v>
      </c>
      <c r="F1564" s="49" t="s">
        <v>2894</v>
      </c>
      <c r="G1564" s="39" t="s">
        <v>2852</v>
      </c>
    </row>
    <row r="1565" customFormat="false" ht="18" hidden="false" customHeight="true" outlineLevel="0" collapsed="false">
      <c r="A1565" s="47" t="n">
        <v>1564</v>
      </c>
      <c r="B1565" s="39" t="s">
        <v>690</v>
      </c>
      <c r="C1565" s="39" t="s">
        <v>2742</v>
      </c>
      <c r="D1565" s="39" t="s">
        <v>109</v>
      </c>
      <c r="E1565" s="48" t="s">
        <v>1851</v>
      </c>
      <c r="F1565" s="49" t="s">
        <v>151</v>
      </c>
      <c r="G1565" s="39" t="s">
        <v>2853</v>
      </c>
    </row>
    <row r="1566" customFormat="false" ht="18" hidden="false" customHeight="true" outlineLevel="0" collapsed="false">
      <c r="A1566" s="47" t="n">
        <v>1565</v>
      </c>
      <c r="B1566" s="39" t="s">
        <v>599</v>
      </c>
      <c r="C1566" s="39" t="s">
        <v>2748</v>
      </c>
      <c r="D1566" s="39" t="s">
        <v>2840</v>
      </c>
      <c r="E1566" s="48" t="s">
        <v>2749</v>
      </c>
      <c r="F1566" s="49" t="s">
        <v>3438</v>
      </c>
      <c r="G1566" s="39" t="s">
        <v>2898</v>
      </c>
    </row>
    <row r="1567" customFormat="false" ht="18" hidden="false" customHeight="true" outlineLevel="0" collapsed="false">
      <c r="A1567" s="47" t="n">
        <v>1566</v>
      </c>
      <c r="B1567" s="39" t="s">
        <v>599</v>
      </c>
      <c r="C1567" s="39" t="s">
        <v>2748</v>
      </c>
      <c r="D1567" s="39" t="s">
        <v>101</v>
      </c>
      <c r="E1567" s="48" t="s">
        <v>2750</v>
      </c>
      <c r="F1567" s="49" t="s">
        <v>598</v>
      </c>
      <c r="G1567" s="39" t="s">
        <v>2843</v>
      </c>
    </row>
    <row r="1568" customFormat="false" ht="18" hidden="false" customHeight="true" outlineLevel="0" collapsed="false">
      <c r="A1568" s="47" t="n">
        <v>1567</v>
      </c>
      <c r="B1568" s="39" t="s">
        <v>599</v>
      </c>
      <c r="C1568" s="39" t="s">
        <v>2748</v>
      </c>
      <c r="D1568" s="39" t="s">
        <v>102</v>
      </c>
      <c r="E1568" s="48" t="s">
        <v>1564</v>
      </c>
      <c r="F1568" s="49" t="s">
        <v>120</v>
      </c>
      <c r="G1568" s="39" t="s">
        <v>2844</v>
      </c>
    </row>
    <row r="1569" customFormat="false" ht="18" hidden="false" customHeight="true" outlineLevel="0" collapsed="false">
      <c r="A1569" s="47" t="n">
        <v>1568</v>
      </c>
      <c r="B1569" s="39" t="s">
        <v>599</v>
      </c>
      <c r="C1569" s="39" t="s">
        <v>2748</v>
      </c>
      <c r="D1569" s="39" t="s">
        <v>2845</v>
      </c>
      <c r="E1569" s="48" t="s">
        <v>2751</v>
      </c>
      <c r="F1569" s="49" t="s">
        <v>3439</v>
      </c>
      <c r="G1569" s="39" t="s">
        <v>3315</v>
      </c>
    </row>
    <row r="1570" customFormat="false" ht="18" hidden="false" customHeight="true" outlineLevel="0" collapsed="false">
      <c r="A1570" s="47" t="n">
        <v>1569</v>
      </c>
      <c r="B1570" s="39" t="s">
        <v>599</v>
      </c>
      <c r="C1570" s="39" t="s">
        <v>2748</v>
      </c>
      <c r="D1570" s="39" t="s">
        <v>2848</v>
      </c>
      <c r="E1570" s="48" t="s">
        <v>2752</v>
      </c>
      <c r="F1570" s="49" t="s">
        <v>3440</v>
      </c>
      <c r="G1570" s="39" t="s">
        <v>3315</v>
      </c>
    </row>
    <row r="1571" customFormat="false" ht="18" hidden="false" customHeight="true" outlineLevel="0" collapsed="false">
      <c r="A1571" s="47" t="n">
        <v>1570</v>
      </c>
      <c r="B1571" s="39" t="s">
        <v>599</v>
      </c>
      <c r="C1571" s="39" t="s">
        <v>2748</v>
      </c>
      <c r="D1571" s="39" t="s">
        <v>109</v>
      </c>
      <c r="E1571" s="48" t="s">
        <v>1140</v>
      </c>
      <c r="F1571" s="49" t="s">
        <v>151</v>
      </c>
      <c r="G1571" s="39" t="s">
        <v>2853</v>
      </c>
    </row>
    <row r="1572" customFormat="false" ht="18" hidden="false" customHeight="true" outlineLevel="0" collapsed="false">
      <c r="A1572" s="47" t="n">
        <v>1571</v>
      </c>
      <c r="B1572" s="39" t="s">
        <v>457</v>
      </c>
      <c r="C1572" s="39" t="s">
        <v>2754</v>
      </c>
      <c r="D1572" s="39" t="s">
        <v>101</v>
      </c>
      <c r="E1572" s="48" t="s">
        <v>2756</v>
      </c>
      <c r="F1572" s="49" t="s">
        <v>456</v>
      </c>
      <c r="G1572" s="39" t="s">
        <v>2843</v>
      </c>
    </row>
    <row r="1573" customFormat="false" ht="18" hidden="false" customHeight="true" outlineLevel="0" collapsed="false">
      <c r="A1573" s="47" t="n">
        <v>1572</v>
      </c>
      <c r="B1573" s="39" t="s">
        <v>457</v>
      </c>
      <c r="C1573" s="39" t="s">
        <v>2754</v>
      </c>
      <c r="D1573" s="39" t="s">
        <v>102</v>
      </c>
      <c r="E1573" s="48" t="s">
        <v>1544</v>
      </c>
      <c r="F1573" s="49" t="s">
        <v>163</v>
      </c>
      <c r="G1573" s="39" t="s">
        <v>2844</v>
      </c>
    </row>
    <row r="1574" customFormat="false" ht="18" hidden="false" customHeight="true" outlineLevel="0" collapsed="false">
      <c r="A1574" s="47" t="n">
        <v>1573</v>
      </c>
      <c r="B1574" s="39" t="s">
        <v>457</v>
      </c>
      <c r="C1574" s="39" t="s">
        <v>2754</v>
      </c>
      <c r="D1574" s="39" t="s">
        <v>2845</v>
      </c>
      <c r="E1574" s="48" t="s">
        <v>2757</v>
      </c>
      <c r="F1574" s="49" t="s">
        <v>3441</v>
      </c>
      <c r="G1574" s="39" t="s">
        <v>3315</v>
      </c>
    </row>
    <row r="1575" customFormat="false" ht="18" hidden="false" customHeight="true" outlineLevel="0" collapsed="false">
      <c r="A1575" s="47" t="n">
        <v>1574</v>
      </c>
      <c r="B1575" s="39" t="s">
        <v>457</v>
      </c>
      <c r="C1575" s="39" t="s">
        <v>2754</v>
      </c>
      <c r="D1575" s="39" t="s">
        <v>2848</v>
      </c>
      <c r="E1575" s="48" t="s">
        <v>2758</v>
      </c>
      <c r="F1575" s="49" t="s">
        <v>3442</v>
      </c>
      <c r="G1575" s="39" t="s">
        <v>3315</v>
      </c>
    </row>
    <row r="1576" customFormat="false" ht="18" hidden="false" customHeight="true" outlineLevel="0" collapsed="false">
      <c r="A1576" s="47" t="n">
        <v>1575</v>
      </c>
      <c r="B1576" s="39" t="s">
        <v>457</v>
      </c>
      <c r="C1576" s="39" t="s">
        <v>2754</v>
      </c>
      <c r="D1576" s="39" t="s">
        <v>109</v>
      </c>
      <c r="E1576" s="48" t="s">
        <v>1140</v>
      </c>
      <c r="F1576" s="49" t="s">
        <v>151</v>
      </c>
      <c r="G1576" s="39" t="s">
        <v>2853</v>
      </c>
    </row>
    <row r="1577" customFormat="false" ht="18" hidden="false" customHeight="true" outlineLevel="0" collapsed="false">
      <c r="A1577" s="47" t="n">
        <v>1576</v>
      </c>
      <c r="B1577" s="39" t="s">
        <v>2760</v>
      </c>
      <c r="C1577" s="39" t="s">
        <v>2761</v>
      </c>
      <c r="D1577" s="39" t="s">
        <v>2840</v>
      </c>
      <c r="E1577" s="48" t="s">
        <v>2762</v>
      </c>
      <c r="F1577" s="49" t="s">
        <v>2198</v>
      </c>
      <c r="G1577" s="39" t="s">
        <v>2898</v>
      </c>
    </row>
    <row r="1578" customFormat="false" ht="18" hidden="false" customHeight="true" outlineLevel="0" collapsed="false">
      <c r="A1578" s="47" t="n">
        <v>1577</v>
      </c>
      <c r="B1578" s="39" t="s">
        <v>2760</v>
      </c>
      <c r="C1578" s="39" t="s">
        <v>2761</v>
      </c>
      <c r="D1578" s="39" t="s">
        <v>101</v>
      </c>
      <c r="E1578" s="48" t="s">
        <v>2763</v>
      </c>
      <c r="F1578" s="49" t="s">
        <v>311</v>
      </c>
      <c r="G1578" s="39" t="s">
        <v>2843</v>
      </c>
    </row>
    <row r="1579" customFormat="false" ht="18" hidden="false" customHeight="true" outlineLevel="0" collapsed="false">
      <c r="A1579" s="47" t="n">
        <v>1578</v>
      </c>
      <c r="B1579" s="39" t="s">
        <v>2760</v>
      </c>
      <c r="C1579" s="39" t="s">
        <v>2761</v>
      </c>
      <c r="D1579" s="39" t="s">
        <v>102</v>
      </c>
      <c r="E1579" s="48" t="s">
        <v>1824</v>
      </c>
      <c r="F1579" s="49" t="s">
        <v>128</v>
      </c>
      <c r="G1579" s="39" t="s">
        <v>2844</v>
      </c>
    </row>
    <row r="1580" customFormat="false" ht="18" hidden="false" customHeight="true" outlineLevel="0" collapsed="false">
      <c r="A1580" s="47" t="n">
        <v>1579</v>
      </c>
      <c r="B1580" s="39" t="s">
        <v>2760</v>
      </c>
      <c r="C1580" s="39" t="s">
        <v>2761</v>
      </c>
      <c r="D1580" s="39" t="s">
        <v>77</v>
      </c>
      <c r="E1580" s="48" t="s">
        <v>1162</v>
      </c>
      <c r="F1580" s="49" t="s">
        <v>79</v>
      </c>
      <c r="G1580" s="39" t="s">
        <v>2863</v>
      </c>
    </row>
    <row r="1581" customFormat="false" ht="18" hidden="false" customHeight="true" outlineLevel="0" collapsed="false">
      <c r="A1581" s="47" t="n">
        <v>1580</v>
      </c>
      <c r="B1581" s="39" t="s">
        <v>2760</v>
      </c>
      <c r="C1581" s="39" t="s">
        <v>2761</v>
      </c>
      <c r="D1581" s="39" t="s">
        <v>2845</v>
      </c>
      <c r="E1581" s="48" t="s">
        <v>2764</v>
      </c>
      <c r="F1581" s="49" t="s">
        <v>3253</v>
      </c>
      <c r="G1581" s="39" t="s">
        <v>3315</v>
      </c>
    </row>
    <row r="1582" customFormat="false" ht="18" hidden="false" customHeight="true" outlineLevel="0" collapsed="false">
      <c r="A1582" s="47" t="n">
        <v>1581</v>
      </c>
      <c r="B1582" s="39" t="s">
        <v>2760</v>
      </c>
      <c r="C1582" s="39" t="s">
        <v>2761</v>
      </c>
      <c r="D1582" s="39" t="s">
        <v>2848</v>
      </c>
      <c r="E1582" s="48" t="s">
        <v>2765</v>
      </c>
      <c r="F1582" s="49" t="s">
        <v>3443</v>
      </c>
      <c r="G1582" s="39" t="s">
        <v>3315</v>
      </c>
    </row>
    <row r="1583" customFormat="false" ht="18" hidden="false" customHeight="true" outlineLevel="0" collapsed="false">
      <c r="A1583" s="47" t="n">
        <v>1582</v>
      </c>
      <c r="B1583" s="39" t="s">
        <v>2760</v>
      </c>
      <c r="C1583" s="39" t="s">
        <v>2761</v>
      </c>
      <c r="D1583" s="39" t="s">
        <v>109</v>
      </c>
      <c r="E1583" s="48" t="s">
        <v>2034</v>
      </c>
      <c r="F1583" s="49" t="s">
        <v>130</v>
      </c>
      <c r="G1583" s="39" t="s">
        <v>2853</v>
      </c>
    </row>
    <row r="1584" customFormat="false" ht="18" hidden="false" customHeight="true" outlineLevel="0" collapsed="false">
      <c r="A1584" s="47" t="n">
        <v>1583</v>
      </c>
      <c r="B1584" s="39" t="s">
        <v>2767</v>
      </c>
      <c r="C1584" s="39" t="s">
        <v>2768</v>
      </c>
      <c r="D1584" s="39" t="s">
        <v>101</v>
      </c>
      <c r="E1584" s="48" t="s">
        <v>2769</v>
      </c>
      <c r="F1584" s="49" t="s">
        <v>452</v>
      </c>
      <c r="G1584" s="39" t="s">
        <v>2843</v>
      </c>
    </row>
    <row r="1585" customFormat="false" ht="18" hidden="false" customHeight="true" outlineLevel="0" collapsed="false">
      <c r="A1585" s="47" t="n">
        <v>1584</v>
      </c>
      <c r="B1585" s="39" t="s">
        <v>2767</v>
      </c>
      <c r="C1585" s="39" t="s">
        <v>2768</v>
      </c>
      <c r="D1585" s="39" t="s">
        <v>102</v>
      </c>
      <c r="E1585" s="48" t="s">
        <v>1695</v>
      </c>
      <c r="F1585" s="49" t="s">
        <v>170</v>
      </c>
      <c r="G1585" s="39" t="s">
        <v>2844</v>
      </c>
    </row>
    <row r="1586" customFormat="false" ht="18" hidden="false" customHeight="true" outlineLevel="0" collapsed="false">
      <c r="A1586" s="47" t="n">
        <v>1585</v>
      </c>
      <c r="B1586" s="39" t="s">
        <v>2767</v>
      </c>
      <c r="C1586" s="39" t="s">
        <v>2768</v>
      </c>
      <c r="D1586" s="39" t="s">
        <v>2845</v>
      </c>
      <c r="E1586" s="48" t="s">
        <v>2770</v>
      </c>
      <c r="F1586" s="49" t="s">
        <v>3444</v>
      </c>
      <c r="G1586" s="39" t="s">
        <v>3315</v>
      </c>
    </row>
    <row r="1587" customFormat="false" ht="18" hidden="false" customHeight="true" outlineLevel="0" collapsed="false">
      <c r="A1587" s="47" t="n">
        <v>1586</v>
      </c>
      <c r="B1587" s="39" t="s">
        <v>2767</v>
      </c>
      <c r="C1587" s="39" t="s">
        <v>2768</v>
      </c>
      <c r="D1587" s="39" t="s">
        <v>2848</v>
      </c>
      <c r="E1587" s="48" t="s">
        <v>2771</v>
      </c>
      <c r="F1587" s="49" t="s">
        <v>3445</v>
      </c>
      <c r="G1587" s="39" t="s">
        <v>3315</v>
      </c>
    </row>
    <row r="1588" customFormat="false" ht="18" hidden="false" customHeight="true" outlineLevel="0" collapsed="false">
      <c r="A1588" s="47" t="n">
        <v>1587</v>
      </c>
      <c r="B1588" s="39" t="s">
        <v>2767</v>
      </c>
      <c r="C1588" s="39" t="s">
        <v>2768</v>
      </c>
      <c r="D1588" s="39" t="s">
        <v>2850</v>
      </c>
      <c r="E1588" s="48" t="s">
        <v>2772</v>
      </c>
      <c r="F1588" s="49" t="s">
        <v>3446</v>
      </c>
      <c r="G1588" s="39" t="s">
        <v>2852</v>
      </c>
    </row>
    <row r="1589" customFormat="false" ht="18" hidden="false" customHeight="true" outlineLevel="0" collapsed="false">
      <c r="A1589" s="47" t="n">
        <v>1588</v>
      </c>
      <c r="B1589" s="39" t="s">
        <v>2767</v>
      </c>
      <c r="C1589" s="39" t="s">
        <v>2768</v>
      </c>
      <c r="D1589" s="39" t="s">
        <v>109</v>
      </c>
      <c r="E1589" s="48" t="s">
        <v>1851</v>
      </c>
      <c r="F1589" s="49" t="s">
        <v>151</v>
      </c>
      <c r="G1589" s="39" t="s">
        <v>2853</v>
      </c>
    </row>
    <row r="1590" customFormat="false" ht="18" hidden="false" customHeight="true" outlineLevel="0" collapsed="false">
      <c r="A1590" s="47" t="n">
        <v>1589</v>
      </c>
      <c r="B1590" s="39" t="s">
        <v>2773</v>
      </c>
      <c r="C1590" s="39" t="s">
        <v>2774</v>
      </c>
      <c r="D1590" s="39" t="s">
        <v>2840</v>
      </c>
      <c r="E1590" s="48" t="s">
        <v>2775</v>
      </c>
      <c r="F1590" s="49" t="s">
        <v>2349</v>
      </c>
      <c r="G1590" s="39" t="s">
        <v>2898</v>
      </c>
    </row>
    <row r="1591" customFormat="false" ht="18" hidden="false" customHeight="true" outlineLevel="0" collapsed="false">
      <c r="A1591" s="47" t="n">
        <v>1590</v>
      </c>
      <c r="B1591" s="39" t="s">
        <v>2773</v>
      </c>
      <c r="C1591" s="39" t="s">
        <v>2774</v>
      </c>
      <c r="D1591" s="39" t="s">
        <v>100</v>
      </c>
      <c r="E1591" s="48" t="s">
        <v>2776</v>
      </c>
      <c r="F1591" s="49" t="s">
        <v>792</v>
      </c>
      <c r="G1591" s="39" t="s">
        <v>2870</v>
      </c>
    </row>
    <row r="1592" customFormat="false" ht="18" hidden="false" customHeight="true" outlineLevel="0" collapsed="false">
      <c r="A1592" s="47" t="n">
        <v>1591</v>
      </c>
      <c r="B1592" s="39" t="s">
        <v>2773</v>
      </c>
      <c r="C1592" s="39" t="s">
        <v>2774</v>
      </c>
      <c r="D1592" s="39" t="s">
        <v>101</v>
      </c>
      <c r="E1592" s="48" t="s">
        <v>2777</v>
      </c>
      <c r="F1592" s="49" t="s">
        <v>793</v>
      </c>
      <c r="G1592" s="39" t="s">
        <v>2843</v>
      </c>
    </row>
    <row r="1593" customFormat="false" ht="18" hidden="false" customHeight="true" outlineLevel="0" collapsed="false">
      <c r="A1593" s="47" t="n">
        <v>1592</v>
      </c>
      <c r="B1593" s="39" t="s">
        <v>2773</v>
      </c>
      <c r="C1593" s="39" t="s">
        <v>2774</v>
      </c>
      <c r="D1593" s="39" t="s">
        <v>102</v>
      </c>
      <c r="E1593" s="48" t="s">
        <v>2399</v>
      </c>
      <c r="F1593" s="49" t="s">
        <v>150</v>
      </c>
      <c r="G1593" s="39" t="s">
        <v>2844</v>
      </c>
    </row>
    <row r="1594" customFormat="false" ht="18" hidden="false" customHeight="true" outlineLevel="0" collapsed="false">
      <c r="A1594" s="47" t="n">
        <v>1593</v>
      </c>
      <c r="B1594" s="39" t="s">
        <v>2773</v>
      </c>
      <c r="C1594" s="39" t="s">
        <v>2774</v>
      </c>
      <c r="D1594" s="39" t="s">
        <v>2845</v>
      </c>
      <c r="E1594" s="48" t="s">
        <v>2778</v>
      </c>
      <c r="F1594" s="49" t="s">
        <v>3447</v>
      </c>
      <c r="G1594" s="39" t="s">
        <v>3315</v>
      </c>
    </row>
    <row r="1595" customFormat="false" ht="18" hidden="false" customHeight="true" outlineLevel="0" collapsed="false">
      <c r="A1595" s="47" t="n">
        <v>1594</v>
      </c>
      <c r="B1595" s="39" t="s">
        <v>2773</v>
      </c>
      <c r="C1595" s="39" t="s">
        <v>2774</v>
      </c>
      <c r="D1595" s="39" t="s">
        <v>2848</v>
      </c>
      <c r="E1595" s="48" t="s">
        <v>2779</v>
      </c>
      <c r="F1595" s="49" t="s">
        <v>3448</v>
      </c>
      <c r="G1595" s="39" t="s">
        <v>3315</v>
      </c>
    </row>
    <row r="1596" customFormat="false" ht="18" hidden="false" customHeight="true" outlineLevel="0" collapsed="false">
      <c r="A1596" s="47" t="n">
        <v>1595</v>
      </c>
      <c r="B1596" s="39" t="s">
        <v>2773</v>
      </c>
      <c r="C1596" s="39" t="s">
        <v>2774</v>
      </c>
      <c r="D1596" s="39" t="s">
        <v>109</v>
      </c>
      <c r="E1596" s="48" t="s">
        <v>1851</v>
      </c>
      <c r="F1596" s="49" t="s">
        <v>151</v>
      </c>
      <c r="G1596" s="39" t="s">
        <v>2853</v>
      </c>
    </row>
    <row r="1597" customFormat="false" ht="18" hidden="false" customHeight="true" outlineLevel="0" collapsed="false">
      <c r="A1597" s="47" t="n">
        <v>1596</v>
      </c>
      <c r="B1597" s="39" t="s">
        <v>2781</v>
      </c>
      <c r="C1597" s="39" t="s">
        <v>2782</v>
      </c>
      <c r="D1597" s="39" t="s">
        <v>100</v>
      </c>
      <c r="E1597" s="48" t="s">
        <v>2784</v>
      </c>
      <c r="F1597" s="49" t="s">
        <v>1031</v>
      </c>
      <c r="G1597" s="39" t="s">
        <v>2870</v>
      </c>
    </row>
    <row r="1598" customFormat="false" ht="18" hidden="false" customHeight="true" outlineLevel="0" collapsed="false">
      <c r="A1598" s="47" t="n">
        <v>1597</v>
      </c>
      <c r="B1598" s="39" t="s">
        <v>2781</v>
      </c>
      <c r="C1598" s="39" t="s">
        <v>2782</v>
      </c>
      <c r="D1598" s="39" t="s">
        <v>102</v>
      </c>
      <c r="E1598" s="48" t="s">
        <v>1824</v>
      </c>
      <c r="F1598" s="49" t="s">
        <v>128</v>
      </c>
      <c r="G1598" s="39" t="s">
        <v>2844</v>
      </c>
    </row>
    <row r="1599" customFormat="false" ht="18" hidden="false" customHeight="true" outlineLevel="0" collapsed="false">
      <c r="A1599" s="47" t="n">
        <v>1598</v>
      </c>
      <c r="B1599" s="39" t="s">
        <v>2781</v>
      </c>
      <c r="C1599" s="39" t="s">
        <v>2782</v>
      </c>
      <c r="D1599" s="39" t="s">
        <v>2845</v>
      </c>
      <c r="E1599" s="48" t="s">
        <v>2653</v>
      </c>
      <c r="F1599" s="49" t="s">
        <v>3197</v>
      </c>
      <c r="G1599" s="39" t="s">
        <v>3315</v>
      </c>
    </row>
    <row r="1600" customFormat="false" ht="18" hidden="false" customHeight="true" outlineLevel="0" collapsed="false">
      <c r="A1600" s="47" t="n">
        <v>1599</v>
      </c>
      <c r="B1600" s="39" t="s">
        <v>2781</v>
      </c>
      <c r="C1600" s="39" t="s">
        <v>2782</v>
      </c>
      <c r="D1600" s="39" t="s">
        <v>2848</v>
      </c>
      <c r="E1600" s="48" t="s">
        <v>2653</v>
      </c>
      <c r="F1600" s="49" t="s">
        <v>3197</v>
      </c>
      <c r="G1600" s="39" t="s">
        <v>3315</v>
      </c>
    </row>
    <row r="1601" customFormat="false" ht="18" hidden="false" customHeight="true" outlineLevel="0" collapsed="false">
      <c r="A1601" s="47" t="n">
        <v>1600</v>
      </c>
      <c r="B1601" s="39" t="s">
        <v>2781</v>
      </c>
      <c r="C1601" s="39" t="s">
        <v>2782</v>
      </c>
      <c r="D1601" s="39" t="s">
        <v>109</v>
      </c>
      <c r="E1601" s="48" t="s">
        <v>2034</v>
      </c>
      <c r="F1601" s="49" t="s">
        <v>130</v>
      </c>
      <c r="G1601" s="39" t="s">
        <v>2853</v>
      </c>
    </row>
    <row r="1602" customFormat="false" ht="18" hidden="false" customHeight="true" outlineLevel="0" collapsed="false">
      <c r="A1602" s="47" t="n">
        <v>1601</v>
      </c>
      <c r="B1602" s="39" t="s">
        <v>2786</v>
      </c>
      <c r="C1602" s="39" t="s">
        <v>2787</v>
      </c>
      <c r="D1602" s="39" t="s">
        <v>101</v>
      </c>
      <c r="E1602" s="48" t="s">
        <v>2788</v>
      </c>
      <c r="F1602" s="49" t="s">
        <v>837</v>
      </c>
      <c r="G1602" s="39" t="s">
        <v>2843</v>
      </c>
    </row>
    <row r="1603" customFormat="false" ht="18" hidden="false" customHeight="true" outlineLevel="0" collapsed="false">
      <c r="A1603" s="47" t="n">
        <v>1602</v>
      </c>
      <c r="B1603" s="39" t="s">
        <v>2786</v>
      </c>
      <c r="C1603" s="39" t="s">
        <v>2787</v>
      </c>
      <c r="D1603" s="39" t="s">
        <v>102</v>
      </c>
      <c r="E1603" s="48" t="s">
        <v>1544</v>
      </c>
      <c r="F1603" s="49" t="s">
        <v>163</v>
      </c>
      <c r="G1603" s="39" t="s">
        <v>2844</v>
      </c>
    </row>
    <row r="1604" customFormat="false" ht="18" hidden="false" customHeight="true" outlineLevel="0" collapsed="false">
      <c r="A1604" s="47" t="n">
        <v>1603</v>
      </c>
      <c r="B1604" s="39" t="s">
        <v>2786</v>
      </c>
      <c r="C1604" s="39" t="s">
        <v>2787</v>
      </c>
      <c r="D1604" s="39" t="s">
        <v>77</v>
      </c>
      <c r="E1604" s="48" t="s">
        <v>1162</v>
      </c>
      <c r="F1604" s="49" t="s">
        <v>79</v>
      </c>
      <c r="G1604" s="39" t="s">
        <v>2863</v>
      </c>
    </row>
    <row r="1605" customFormat="false" ht="18" hidden="false" customHeight="true" outlineLevel="0" collapsed="false">
      <c r="A1605" s="47" t="n">
        <v>1604</v>
      </c>
      <c r="B1605" s="39" t="s">
        <v>2786</v>
      </c>
      <c r="C1605" s="39" t="s">
        <v>2787</v>
      </c>
      <c r="D1605" s="39" t="s">
        <v>2845</v>
      </c>
      <c r="E1605" s="48" t="s">
        <v>2789</v>
      </c>
      <c r="F1605" s="49" t="s">
        <v>3449</v>
      </c>
      <c r="G1605" s="39" t="s">
        <v>3315</v>
      </c>
    </row>
    <row r="1606" customFormat="false" ht="18" hidden="false" customHeight="true" outlineLevel="0" collapsed="false">
      <c r="A1606" s="47" t="n">
        <v>1605</v>
      </c>
      <c r="B1606" s="39" t="s">
        <v>2786</v>
      </c>
      <c r="C1606" s="39" t="s">
        <v>2787</v>
      </c>
      <c r="D1606" s="39" t="s">
        <v>2848</v>
      </c>
      <c r="E1606" s="48" t="s">
        <v>2790</v>
      </c>
      <c r="F1606" s="49" t="s">
        <v>2952</v>
      </c>
      <c r="G1606" s="39" t="s">
        <v>3315</v>
      </c>
    </row>
    <row r="1607" customFormat="false" ht="18" hidden="false" customHeight="true" outlineLevel="0" collapsed="false">
      <c r="A1607" s="47" t="n">
        <v>1606</v>
      </c>
      <c r="B1607" s="39" t="s">
        <v>2786</v>
      </c>
      <c r="C1607" s="39" t="s">
        <v>2787</v>
      </c>
      <c r="D1607" s="39" t="s">
        <v>109</v>
      </c>
      <c r="E1607" s="48" t="s">
        <v>1851</v>
      </c>
      <c r="F1607" s="49" t="s">
        <v>151</v>
      </c>
      <c r="G1607" s="39" t="s">
        <v>2853</v>
      </c>
    </row>
    <row r="1608" customFormat="false" ht="18" hidden="false" customHeight="true" outlineLevel="0" collapsed="false">
      <c r="A1608" s="47" t="n">
        <v>1607</v>
      </c>
      <c r="B1608" s="39" t="s">
        <v>797</v>
      </c>
      <c r="C1608" s="39" t="s">
        <v>2792</v>
      </c>
      <c r="D1608" s="39" t="s">
        <v>2840</v>
      </c>
      <c r="E1608" s="48" t="s">
        <v>2793</v>
      </c>
      <c r="F1608" s="49" t="s">
        <v>3450</v>
      </c>
      <c r="G1608" s="39" t="s">
        <v>2898</v>
      </c>
    </row>
    <row r="1609" customFormat="false" ht="18" hidden="false" customHeight="true" outlineLevel="0" collapsed="false">
      <c r="A1609" s="47" t="n">
        <v>1608</v>
      </c>
      <c r="B1609" s="39" t="s">
        <v>797</v>
      </c>
      <c r="C1609" s="39" t="s">
        <v>2792</v>
      </c>
      <c r="D1609" s="39" t="s">
        <v>101</v>
      </c>
      <c r="E1609" s="48" t="s">
        <v>2794</v>
      </c>
      <c r="F1609" s="49" t="s">
        <v>796</v>
      </c>
      <c r="G1609" s="39" t="s">
        <v>2843</v>
      </c>
    </row>
    <row r="1610" customFormat="false" ht="18" hidden="false" customHeight="true" outlineLevel="0" collapsed="false">
      <c r="A1610" s="47" t="n">
        <v>1609</v>
      </c>
      <c r="B1610" s="39" t="s">
        <v>797</v>
      </c>
      <c r="C1610" s="39" t="s">
        <v>2792</v>
      </c>
      <c r="D1610" s="39" t="s">
        <v>102</v>
      </c>
      <c r="E1610" s="48" t="s">
        <v>1544</v>
      </c>
      <c r="F1610" s="49" t="s">
        <v>163</v>
      </c>
      <c r="G1610" s="39" t="s">
        <v>2844</v>
      </c>
    </row>
    <row r="1611" customFormat="false" ht="18" hidden="false" customHeight="true" outlineLevel="0" collapsed="false">
      <c r="A1611" s="47" t="n">
        <v>1610</v>
      </c>
      <c r="B1611" s="39" t="s">
        <v>797</v>
      </c>
      <c r="C1611" s="39" t="s">
        <v>2792</v>
      </c>
      <c r="D1611" s="39" t="s">
        <v>77</v>
      </c>
      <c r="E1611" s="48" t="s">
        <v>1137</v>
      </c>
      <c r="F1611" s="49" t="s">
        <v>79</v>
      </c>
      <c r="G1611" s="39" t="s">
        <v>2863</v>
      </c>
    </row>
    <row r="1612" customFormat="false" ht="18" hidden="false" customHeight="true" outlineLevel="0" collapsed="false">
      <c r="A1612" s="47" t="n">
        <v>1611</v>
      </c>
      <c r="B1612" s="39" t="s">
        <v>797</v>
      </c>
      <c r="C1612" s="39" t="s">
        <v>2792</v>
      </c>
      <c r="D1612" s="39" t="s">
        <v>2845</v>
      </c>
      <c r="E1612" s="48" t="s">
        <v>2795</v>
      </c>
      <c r="F1612" s="49" t="s">
        <v>3142</v>
      </c>
      <c r="G1612" s="39" t="s">
        <v>3315</v>
      </c>
    </row>
    <row r="1613" customFormat="false" ht="18" hidden="false" customHeight="true" outlineLevel="0" collapsed="false">
      <c r="A1613" s="47" t="n">
        <v>1612</v>
      </c>
      <c r="B1613" s="39" t="s">
        <v>797</v>
      </c>
      <c r="C1613" s="39" t="s">
        <v>2792</v>
      </c>
      <c r="D1613" s="39" t="s">
        <v>2848</v>
      </c>
      <c r="E1613" s="48" t="s">
        <v>2796</v>
      </c>
      <c r="F1613" s="49" t="s">
        <v>3451</v>
      </c>
      <c r="G1613" s="39" t="s">
        <v>3315</v>
      </c>
    </row>
    <row r="1614" customFormat="false" ht="18" hidden="false" customHeight="true" outlineLevel="0" collapsed="false">
      <c r="A1614" s="47" t="n">
        <v>1613</v>
      </c>
      <c r="B1614" s="39" t="s">
        <v>797</v>
      </c>
      <c r="C1614" s="39" t="s">
        <v>2792</v>
      </c>
      <c r="D1614" s="39" t="s">
        <v>2850</v>
      </c>
      <c r="E1614" s="48" t="s">
        <v>2797</v>
      </c>
      <c r="F1614" s="49" t="s">
        <v>3452</v>
      </c>
      <c r="G1614" s="39" t="s">
        <v>2852</v>
      </c>
    </row>
    <row r="1615" customFormat="false" ht="18" hidden="false" customHeight="true" outlineLevel="0" collapsed="false">
      <c r="A1615" s="47" t="n">
        <v>1614</v>
      </c>
      <c r="B1615" s="39" t="s">
        <v>797</v>
      </c>
      <c r="C1615" s="39" t="s">
        <v>2792</v>
      </c>
      <c r="D1615" s="39" t="s">
        <v>109</v>
      </c>
      <c r="E1615" s="48" t="s">
        <v>1140</v>
      </c>
      <c r="F1615" s="49" t="s">
        <v>151</v>
      </c>
      <c r="G1615" s="39" t="s">
        <v>2853</v>
      </c>
    </row>
    <row r="1616" customFormat="false" ht="18" hidden="false" customHeight="true" outlineLevel="0" collapsed="false">
      <c r="A1616" s="47" t="n">
        <v>1615</v>
      </c>
      <c r="B1616" s="39" t="s">
        <v>1059</v>
      </c>
      <c r="C1616" s="39" t="s">
        <v>2798</v>
      </c>
      <c r="D1616" s="39" t="s">
        <v>2840</v>
      </c>
      <c r="E1616" s="48" t="s">
        <v>2799</v>
      </c>
      <c r="F1616" s="49" t="s">
        <v>3453</v>
      </c>
      <c r="G1616" s="39" t="s">
        <v>2898</v>
      </c>
    </row>
    <row r="1617" customFormat="false" ht="18" hidden="false" customHeight="true" outlineLevel="0" collapsed="false">
      <c r="A1617" s="47" t="n">
        <v>1616</v>
      </c>
      <c r="B1617" s="39" t="s">
        <v>1059</v>
      </c>
      <c r="C1617" s="39" t="s">
        <v>2798</v>
      </c>
      <c r="D1617" s="39" t="s">
        <v>101</v>
      </c>
      <c r="E1617" s="48" t="s">
        <v>2800</v>
      </c>
      <c r="F1617" s="49" t="s">
        <v>1058</v>
      </c>
      <c r="G1617" s="39" t="s">
        <v>2843</v>
      </c>
    </row>
    <row r="1618" customFormat="false" ht="18" hidden="false" customHeight="true" outlineLevel="0" collapsed="false">
      <c r="A1618" s="47" t="n">
        <v>1617</v>
      </c>
      <c r="B1618" s="39" t="s">
        <v>1059</v>
      </c>
      <c r="C1618" s="39" t="s">
        <v>2798</v>
      </c>
      <c r="D1618" s="39" t="s">
        <v>77</v>
      </c>
      <c r="E1618" s="48" t="s">
        <v>1137</v>
      </c>
      <c r="F1618" s="49" t="s">
        <v>79</v>
      </c>
      <c r="G1618" s="39" t="s">
        <v>2863</v>
      </c>
    </row>
    <row r="1619" customFormat="false" ht="18" hidden="false" customHeight="true" outlineLevel="0" collapsed="false">
      <c r="A1619" s="47" t="n">
        <v>1618</v>
      </c>
      <c r="B1619" s="39" t="s">
        <v>1059</v>
      </c>
      <c r="C1619" s="39" t="s">
        <v>2798</v>
      </c>
      <c r="D1619" s="39" t="s">
        <v>2845</v>
      </c>
      <c r="E1619" s="48" t="s">
        <v>2692</v>
      </c>
      <c r="F1619" s="49" t="s">
        <v>3418</v>
      </c>
      <c r="G1619" s="39" t="s">
        <v>3315</v>
      </c>
    </row>
    <row r="1620" customFormat="false" ht="18" hidden="false" customHeight="true" outlineLevel="0" collapsed="false">
      <c r="A1620" s="47" t="n">
        <v>1619</v>
      </c>
      <c r="B1620" s="39" t="s">
        <v>1059</v>
      </c>
      <c r="C1620" s="39" t="s">
        <v>2798</v>
      </c>
      <c r="D1620" s="39" t="s">
        <v>2848</v>
      </c>
      <c r="E1620" s="48" t="s">
        <v>2801</v>
      </c>
      <c r="F1620" s="49" t="s">
        <v>3080</v>
      </c>
      <c r="G1620" s="39" t="s">
        <v>3315</v>
      </c>
    </row>
    <row r="1621" customFormat="false" ht="18" hidden="false" customHeight="true" outlineLevel="0" collapsed="false">
      <c r="A1621" s="47" t="n">
        <v>1620</v>
      </c>
      <c r="B1621" s="39" t="s">
        <v>1059</v>
      </c>
      <c r="C1621" s="39" t="s">
        <v>2798</v>
      </c>
      <c r="D1621" s="39" t="s">
        <v>109</v>
      </c>
      <c r="E1621" s="48" t="s">
        <v>1851</v>
      </c>
      <c r="F1621" s="49" t="s">
        <v>151</v>
      </c>
      <c r="G1621" s="39" t="s">
        <v>2853</v>
      </c>
    </row>
    <row r="1622" customFormat="false" ht="18" hidden="false" customHeight="true" outlineLevel="0" collapsed="false">
      <c r="A1622" s="47" t="n">
        <v>1621</v>
      </c>
      <c r="B1622" s="39" t="s">
        <v>2803</v>
      </c>
      <c r="C1622" s="39" t="s">
        <v>2804</v>
      </c>
      <c r="D1622" s="39" t="s">
        <v>2840</v>
      </c>
      <c r="E1622" s="48" t="s">
        <v>1362</v>
      </c>
      <c r="F1622" s="49" t="s">
        <v>2957</v>
      </c>
      <c r="G1622" s="39" t="s">
        <v>2898</v>
      </c>
    </row>
    <row r="1623" customFormat="false" ht="18" hidden="false" customHeight="true" outlineLevel="0" collapsed="false">
      <c r="A1623" s="47" t="n">
        <v>1622</v>
      </c>
      <c r="B1623" s="39" t="s">
        <v>2803</v>
      </c>
      <c r="C1623" s="39" t="s">
        <v>2804</v>
      </c>
      <c r="D1623" s="39" t="s">
        <v>101</v>
      </c>
      <c r="E1623" s="48" t="s">
        <v>2805</v>
      </c>
      <c r="F1623" s="49" t="s">
        <v>373</v>
      </c>
      <c r="G1623" s="39" t="s">
        <v>2843</v>
      </c>
    </row>
    <row r="1624" customFormat="false" ht="18" hidden="false" customHeight="true" outlineLevel="0" collapsed="false">
      <c r="A1624" s="47" t="n">
        <v>1623</v>
      </c>
      <c r="B1624" s="39" t="s">
        <v>2803</v>
      </c>
      <c r="C1624" s="39" t="s">
        <v>2804</v>
      </c>
      <c r="D1624" s="39" t="s">
        <v>102</v>
      </c>
      <c r="E1624" s="48" t="s">
        <v>1695</v>
      </c>
      <c r="F1624" s="49" t="s">
        <v>170</v>
      </c>
      <c r="G1624" s="39" t="s">
        <v>2844</v>
      </c>
    </row>
    <row r="1625" customFormat="false" ht="18" hidden="false" customHeight="true" outlineLevel="0" collapsed="false">
      <c r="A1625" s="47" t="n">
        <v>1624</v>
      </c>
      <c r="B1625" s="39" t="s">
        <v>2803</v>
      </c>
      <c r="C1625" s="39" t="s">
        <v>2804</v>
      </c>
      <c r="D1625" s="39" t="s">
        <v>77</v>
      </c>
      <c r="E1625" s="48" t="s">
        <v>1585</v>
      </c>
      <c r="F1625" s="49" t="s">
        <v>82</v>
      </c>
      <c r="G1625" s="39" t="s">
        <v>2863</v>
      </c>
    </row>
    <row r="1626" customFormat="false" ht="18" hidden="false" customHeight="true" outlineLevel="0" collapsed="false">
      <c r="A1626" s="47" t="n">
        <v>1625</v>
      </c>
      <c r="B1626" s="39" t="s">
        <v>2803</v>
      </c>
      <c r="C1626" s="39" t="s">
        <v>2804</v>
      </c>
      <c r="D1626" s="39" t="s">
        <v>2845</v>
      </c>
      <c r="E1626" s="48" t="s">
        <v>2806</v>
      </c>
      <c r="F1626" s="49" t="s">
        <v>3454</v>
      </c>
      <c r="G1626" s="39" t="s">
        <v>3315</v>
      </c>
    </row>
    <row r="1627" customFormat="false" ht="18" hidden="false" customHeight="true" outlineLevel="0" collapsed="false">
      <c r="A1627" s="47" t="n">
        <v>1626</v>
      </c>
      <c r="B1627" s="39" t="s">
        <v>2803</v>
      </c>
      <c r="C1627" s="39" t="s">
        <v>2804</v>
      </c>
      <c r="D1627" s="39" t="s">
        <v>2848</v>
      </c>
      <c r="E1627" s="48" t="s">
        <v>2807</v>
      </c>
      <c r="F1627" s="49" t="s">
        <v>3455</v>
      </c>
      <c r="G1627" s="39" t="s">
        <v>3315</v>
      </c>
    </row>
    <row r="1628" customFormat="false" ht="18" hidden="false" customHeight="true" outlineLevel="0" collapsed="false">
      <c r="A1628" s="47" t="n">
        <v>1627</v>
      </c>
      <c r="B1628" s="39" t="s">
        <v>2803</v>
      </c>
      <c r="C1628" s="39" t="s">
        <v>2804</v>
      </c>
      <c r="D1628" s="39" t="s">
        <v>109</v>
      </c>
      <c r="E1628" s="48" t="s">
        <v>1851</v>
      </c>
      <c r="F1628" s="49" t="s">
        <v>151</v>
      </c>
      <c r="G1628" s="39" t="s">
        <v>2853</v>
      </c>
    </row>
    <row r="1629" customFormat="false" ht="18" hidden="false" customHeight="true" outlineLevel="0" collapsed="false">
      <c r="A1629" s="47" t="n">
        <v>1628</v>
      </c>
      <c r="B1629" s="39" t="s">
        <v>694</v>
      </c>
      <c r="C1629" s="39" t="s">
        <v>2809</v>
      </c>
      <c r="D1629" s="39" t="s">
        <v>101</v>
      </c>
      <c r="E1629" s="48" t="s">
        <v>2811</v>
      </c>
      <c r="F1629" s="49" t="s">
        <v>693</v>
      </c>
      <c r="G1629" s="39" t="s">
        <v>2843</v>
      </c>
    </row>
    <row r="1630" customFormat="false" ht="18" hidden="false" customHeight="true" outlineLevel="0" collapsed="false">
      <c r="A1630" s="47" t="n">
        <v>1629</v>
      </c>
      <c r="B1630" s="39" t="s">
        <v>694</v>
      </c>
      <c r="C1630" s="39" t="s">
        <v>2809</v>
      </c>
      <c r="D1630" s="39" t="s">
        <v>2845</v>
      </c>
      <c r="E1630" s="48" t="s">
        <v>2812</v>
      </c>
      <c r="F1630" s="49" t="s">
        <v>3456</v>
      </c>
      <c r="G1630" s="39" t="s">
        <v>3315</v>
      </c>
    </row>
    <row r="1631" customFormat="false" ht="18" hidden="false" customHeight="true" outlineLevel="0" collapsed="false">
      <c r="A1631" s="47" t="n">
        <v>1630</v>
      </c>
      <c r="B1631" s="39" t="s">
        <v>694</v>
      </c>
      <c r="C1631" s="39" t="s">
        <v>2809</v>
      </c>
      <c r="D1631" s="39" t="s">
        <v>2848</v>
      </c>
      <c r="E1631" s="48" t="s">
        <v>2813</v>
      </c>
      <c r="F1631" s="49" t="s">
        <v>3457</v>
      </c>
      <c r="G1631" s="39" t="s">
        <v>3315</v>
      </c>
    </row>
    <row r="1632" customFormat="false" ht="18" hidden="false" customHeight="true" outlineLevel="0" collapsed="false">
      <c r="A1632" s="47" t="n">
        <v>1631</v>
      </c>
      <c r="B1632" s="39" t="s">
        <v>694</v>
      </c>
      <c r="C1632" s="39" t="s">
        <v>2809</v>
      </c>
      <c r="D1632" s="39" t="s">
        <v>2850</v>
      </c>
      <c r="E1632" s="48" t="s">
        <v>2814</v>
      </c>
      <c r="F1632" s="49" t="s">
        <v>3458</v>
      </c>
      <c r="G1632" s="39" t="s">
        <v>2852</v>
      </c>
    </row>
    <row r="1633" customFormat="false" ht="18" hidden="false" customHeight="true" outlineLevel="0" collapsed="false">
      <c r="A1633" s="47" t="n">
        <v>1632</v>
      </c>
      <c r="B1633" s="39" t="s">
        <v>694</v>
      </c>
      <c r="C1633" s="39" t="s">
        <v>2809</v>
      </c>
      <c r="D1633" s="39" t="s">
        <v>109</v>
      </c>
      <c r="E1633" s="48" t="s">
        <v>2395</v>
      </c>
      <c r="F1633" s="49" t="s">
        <v>130</v>
      </c>
      <c r="G1633" s="39" t="s">
        <v>2853</v>
      </c>
    </row>
    <row r="1634" customFormat="false" ht="18" hidden="false" customHeight="true" outlineLevel="0" collapsed="false">
      <c r="A1634" s="47" t="n">
        <v>1633</v>
      </c>
      <c r="B1634" s="39" t="s">
        <v>2815</v>
      </c>
      <c r="C1634" s="39" t="s">
        <v>2816</v>
      </c>
      <c r="D1634" s="39" t="s">
        <v>2840</v>
      </c>
      <c r="E1634" s="48" t="s">
        <v>2817</v>
      </c>
      <c r="F1634" s="49" t="s">
        <v>1494</v>
      </c>
      <c r="G1634" s="39" t="s">
        <v>2898</v>
      </c>
    </row>
    <row r="1635" customFormat="false" ht="18" hidden="false" customHeight="true" outlineLevel="0" collapsed="false">
      <c r="A1635" s="47" t="n">
        <v>1634</v>
      </c>
      <c r="B1635" s="39" t="s">
        <v>2815</v>
      </c>
      <c r="C1635" s="39" t="s">
        <v>2816</v>
      </c>
      <c r="D1635" s="39" t="s">
        <v>100</v>
      </c>
      <c r="E1635" s="48" t="s">
        <v>2818</v>
      </c>
      <c r="F1635" s="49" t="s">
        <v>979</v>
      </c>
      <c r="G1635" s="39" t="s">
        <v>2878</v>
      </c>
    </row>
    <row r="1636" customFormat="false" ht="18" hidden="false" customHeight="true" outlineLevel="0" collapsed="false">
      <c r="A1636" s="47" t="n">
        <v>1635</v>
      </c>
      <c r="B1636" s="39" t="s">
        <v>2815</v>
      </c>
      <c r="C1636" s="39" t="s">
        <v>2816</v>
      </c>
      <c r="D1636" s="39" t="s">
        <v>101</v>
      </c>
      <c r="E1636" s="48" t="s">
        <v>2819</v>
      </c>
      <c r="F1636" s="49" t="s">
        <v>980</v>
      </c>
      <c r="G1636" s="39" t="s">
        <v>2843</v>
      </c>
    </row>
    <row r="1637" customFormat="false" ht="18" hidden="false" customHeight="true" outlineLevel="0" collapsed="false">
      <c r="A1637" s="47" t="n">
        <v>1636</v>
      </c>
      <c r="B1637" s="39" t="s">
        <v>2815</v>
      </c>
      <c r="C1637" s="39" t="s">
        <v>2816</v>
      </c>
      <c r="D1637" s="39" t="s">
        <v>102</v>
      </c>
      <c r="E1637" s="48" t="s">
        <v>84</v>
      </c>
      <c r="F1637" s="49" t="s">
        <v>295</v>
      </c>
      <c r="G1637" s="39" t="s">
        <v>2844</v>
      </c>
    </row>
    <row r="1638" customFormat="false" ht="18" hidden="false" customHeight="true" outlineLevel="0" collapsed="false">
      <c r="A1638" s="47" t="n">
        <v>1637</v>
      </c>
      <c r="B1638" s="39" t="s">
        <v>2815</v>
      </c>
      <c r="C1638" s="39" t="s">
        <v>2816</v>
      </c>
      <c r="D1638" s="39" t="s">
        <v>2845</v>
      </c>
      <c r="E1638" s="48" t="s">
        <v>2820</v>
      </c>
      <c r="F1638" s="49" t="s">
        <v>3130</v>
      </c>
      <c r="G1638" s="39" t="s">
        <v>3315</v>
      </c>
    </row>
    <row r="1639" customFormat="false" ht="18" hidden="false" customHeight="true" outlineLevel="0" collapsed="false">
      <c r="A1639" s="47" t="n">
        <v>1638</v>
      </c>
      <c r="B1639" s="39" t="s">
        <v>2815</v>
      </c>
      <c r="C1639" s="39" t="s">
        <v>2816</v>
      </c>
      <c r="D1639" s="39" t="s">
        <v>2848</v>
      </c>
      <c r="E1639" s="48" t="s">
        <v>2821</v>
      </c>
      <c r="F1639" s="49" t="s">
        <v>3459</v>
      </c>
      <c r="G1639" s="39" t="s">
        <v>3315</v>
      </c>
    </row>
    <row r="1640" customFormat="false" ht="18" hidden="false" customHeight="true" outlineLevel="0" collapsed="false">
      <c r="A1640" s="47" t="n">
        <v>1639</v>
      </c>
      <c r="B1640" s="39" t="s">
        <v>2815</v>
      </c>
      <c r="C1640" s="39" t="s">
        <v>2816</v>
      </c>
      <c r="D1640" s="39" t="s">
        <v>2850</v>
      </c>
      <c r="E1640" s="48" t="s">
        <v>2822</v>
      </c>
      <c r="F1640" s="49" t="s">
        <v>3460</v>
      </c>
      <c r="G1640" s="39" t="s">
        <v>2852</v>
      </c>
    </row>
    <row r="1641" customFormat="false" ht="18" hidden="false" customHeight="true" outlineLevel="0" collapsed="false">
      <c r="A1641" s="47" t="n">
        <v>1640</v>
      </c>
      <c r="B1641" s="39" t="s">
        <v>2815</v>
      </c>
      <c r="C1641" s="39" t="s">
        <v>2816</v>
      </c>
      <c r="D1641" s="39" t="s">
        <v>109</v>
      </c>
      <c r="E1641" s="48" t="s">
        <v>1140</v>
      </c>
      <c r="F1641" s="49" t="s">
        <v>151</v>
      </c>
      <c r="G1641" s="39" t="s">
        <v>2853</v>
      </c>
    </row>
    <row r="1642" customFormat="false" ht="18" hidden="false" customHeight="true" outlineLevel="0" collapsed="false">
      <c r="A1642" s="47" t="n">
        <v>1641</v>
      </c>
      <c r="B1642" s="39" t="s">
        <v>898</v>
      </c>
      <c r="C1642" s="39" t="s">
        <v>2823</v>
      </c>
      <c r="D1642" s="39" t="s">
        <v>2840</v>
      </c>
      <c r="E1642" s="48" t="s">
        <v>2824</v>
      </c>
      <c r="F1642" s="49" t="s">
        <v>3461</v>
      </c>
      <c r="G1642" s="39" t="s">
        <v>2898</v>
      </c>
    </row>
    <row r="1643" customFormat="false" ht="18" hidden="false" customHeight="true" outlineLevel="0" collapsed="false">
      <c r="A1643" s="47" t="n">
        <v>1642</v>
      </c>
      <c r="B1643" s="39" t="s">
        <v>898</v>
      </c>
      <c r="C1643" s="39" t="s">
        <v>2823</v>
      </c>
      <c r="D1643" s="39" t="s">
        <v>101</v>
      </c>
      <c r="E1643" s="48" t="s">
        <v>2825</v>
      </c>
      <c r="F1643" s="49" t="s">
        <v>897</v>
      </c>
      <c r="G1643" s="39" t="s">
        <v>2843</v>
      </c>
    </row>
    <row r="1644" customFormat="false" ht="18" hidden="false" customHeight="true" outlineLevel="0" collapsed="false">
      <c r="A1644" s="47" t="n">
        <v>1643</v>
      </c>
      <c r="B1644" s="39" t="s">
        <v>898</v>
      </c>
      <c r="C1644" s="39" t="s">
        <v>2823</v>
      </c>
      <c r="D1644" s="39" t="s">
        <v>102</v>
      </c>
      <c r="E1644" s="48" t="s">
        <v>1201</v>
      </c>
      <c r="F1644" s="49" t="s">
        <v>128</v>
      </c>
      <c r="G1644" s="39" t="s">
        <v>2844</v>
      </c>
    </row>
    <row r="1645" customFormat="false" ht="18" hidden="false" customHeight="true" outlineLevel="0" collapsed="false">
      <c r="A1645" s="47" t="n">
        <v>1644</v>
      </c>
      <c r="B1645" s="39" t="s">
        <v>898</v>
      </c>
      <c r="C1645" s="39" t="s">
        <v>2823</v>
      </c>
      <c r="D1645" s="39" t="s">
        <v>77</v>
      </c>
      <c r="E1645" s="48" t="s">
        <v>1137</v>
      </c>
      <c r="F1645" s="49" t="s">
        <v>79</v>
      </c>
      <c r="G1645" s="39" t="s">
        <v>2863</v>
      </c>
    </row>
    <row r="1646" customFormat="false" ht="18" hidden="false" customHeight="true" outlineLevel="0" collapsed="false">
      <c r="A1646" s="47" t="n">
        <v>1645</v>
      </c>
      <c r="B1646" s="39" t="s">
        <v>898</v>
      </c>
      <c r="C1646" s="39" t="s">
        <v>2823</v>
      </c>
      <c r="D1646" s="39" t="s">
        <v>2845</v>
      </c>
      <c r="E1646" s="48" t="s">
        <v>2826</v>
      </c>
      <c r="F1646" s="49" t="s">
        <v>2884</v>
      </c>
      <c r="G1646" s="39" t="s">
        <v>3315</v>
      </c>
    </row>
    <row r="1647" customFormat="false" ht="18" hidden="false" customHeight="true" outlineLevel="0" collapsed="false">
      <c r="A1647" s="47" t="n">
        <v>1646</v>
      </c>
      <c r="B1647" s="39" t="s">
        <v>898</v>
      </c>
      <c r="C1647" s="39" t="s">
        <v>2823</v>
      </c>
      <c r="D1647" s="39" t="s">
        <v>2848</v>
      </c>
      <c r="E1647" s="48" t="s">
        <v>2459</v>
      </c>
      <c r="F1647" s="49" t="s">
        <v>2976</v>
      </c>
      <c r="G1647" s="39" t="s">
        <v>3315</v>
      </c>
    </row>
    <row r="1648" customFormat="false" ht="18" hidden="false" customHeight="true" outlineLevel="0" collapsed="false">
      <c r="A1648" s="47" t="n">
        <v>1647</v>
      </c>
      <c r="B1648" s="39" t="s">
        <v>898</v>
      </c>
      <c r="C1648" s="39" t="s">
        <v>2823</v>
      </c>
      <c r="D1648" s="39" t="s">
        <v>2850</v>
      </c>
      <c r="E1648" s="48" t="s">
        <v>2827</v>
      </c>
      <c r="F1648" s="49" t="s">
        <v>3462</v>
      </c>
      <c r="G1648" s="39" t="s">
        <v>2852</v>
      </c>
    </row>
    <row r="1649" customFormat="false" ht="18" hidden="false" customHeight="true" outlineLevel="0" collapsed="false">
      <c r="A1649" s="47" t="n">
        <v>1648</v>
      </c>
      <c r="B1649" s="39" t="s">
        <v>898</v>
      </c>
      <c r="C1649" s="39" t="s">
        <v>2823</v>
      </c>
      <c r="D1649" s="39" t="s">
        <v>109</v>
      </c>
      <c r="E1649" s="48" t="s">
        <v>1851</v>
      </c>
      <c r="F1649" s="49" t="s">
        <v>151</v>
      </c>
      <c r="G1649" s="39" t="s">
        <v>2853</v>
      </c>
    </row>
    <row r="1650" customFormat="false" ht="18" hidden="false" customHeight="true" outlineLevel="0" collapsed="false">
      <c r="A1650" s="47" t="n">
        <v>1649</v>
      </c>
      <c r="B1650" s="39" t="s">
        <v>2828</v>
      </c>
      <c r="C1650" s="39" t="s">
        <v>2829</v>
      </c>
      <c r="D1650" s="39" t="s">
        <v>2840</v>
      </c>
      <c r="E1650" s="48" t="s">
        <v>2830</v>
      </c>
      <c r="F1650" s="49" t="s">
        <v>3229</v>
      </c>
      <c r="G1650" s="39" t="s">
        <v>2898</v>
      </c>
    </row>
    <row r="1651" customFormat="false" ht="18" hidden="false" customHeight="true" outlineLevel="0" collapsed="false">
      <c r="A1651" s="47" t="n">
        <v>1650</v>
      </c>
      <c r="B1651" s="39" t="s">
        <v>2828</v>
      </c>
      <c r="C1651" s="39" t="s">
        <v>2829</v>
      </c>
      <c r="D1651" s="39" t="s">
        <v>101</v>
      </c>
      <c r="E1651" s="48" t="s">
        <v>2831</v>
      </c>
      <c r="F1651" s="49" t="s">
        <v>701</v>
      </c>
      <c r="G1651" s="39" t="s">
        <v>2843</v>
      </c>
    </row>
    <row r="1652" customFormat="false" ht="18" hidden="false" customHeight="true" outlineLevel="0" collapsed="false">
      <c r="A1652" s="47" t="n">
        <v>1651</v>
      </c>
      <c r="B1652" s="39" t="s">
        <v>2828</v>
      </c>
      <c r="C1652" s="39" t="s">
        <v>2829</v>
      </c>
      <c r="D1652" s="39" t="s">
        <v>102</v>
      </c>
      <c r="E1652" s="48" t="s">
        <v>1146</v>
      </c>
      <c r="F1652" s="49" t="s">
        <v>137</v>
      </c>
      <c r="G1652" s="39" t="s">
        <v>2844</v>
      </c>
    </row>
    <row r="1653" customFormat="false" ht="18" hidden="false" customHeight="true" outlineLevel="0" collapsed="false">
      <c r="A1653" s="47" t="n">
        <v>1652</v>
      </c>
      <c r="B1653" s="39" t="s">
        <v>2828</v>
      </c>
      <c r="C1653" s="39" t="s">
        <v>2829</v>
      </c>
      <c r="D1653" s="39" t="s">
        <v>77</v>
      </c>
      <c r="E1653" s="48" t="s">
        <v>1257</v>
      </c>
      <c r="F1653" s="49" t="s">
        <v>83</v>
      </c>
      <c r="G1653" s="39" t="s">
        <v>2863</v>
      </c>
    </row>
    <row r="1654" customFormat="false" ht="18" hidden="false" customHeight="true" outlineLevel="0" collapsed="false">
      <c r="A1654" s="47" t="n">
        <v>1653</v>
      </c>
      <c r="B1654" s="39" t="s">
        <v>2828</v>
      </c>
      <c r="C1654" s="39" t="s">
        <v>2829</v>
      </c>
      <c r="D1654" s="39" t="s">
        <v>2845</v>
      </c>
      <c r="E1654" s="48" t="s">
        <v>2832</v>
      </c>
      <c r="F1654" s="49" t="s">
        <v>3463</v>
      </c>
      <c r="G1654" s="39" t="s">
        <v>3315</v>
      </c>
    </row>
    <row r="1655" customFormat="false" ht="18" hidden="false" customHeight="true" outlineLevel="0" collapsed="false">
      <c r="A1655" s="47" t="n">
        <v>1654</v>
      </c>
      <c r="B1655" s="39" t="s">
        <v>2828</v>
      </c>
      <c r="C1655" s="39" t="s">
        <v>2829</v>
      </c>
      <c r="D1655" s="39" t="s">
        <v>2848</v>
      </c>
      <c r="E1655" s="48" t="s">
        <v>2833</v>
      </c>
      <c r="F1655" s="49" t="s">
        <v>3464</v>
      </c>
      <c r="G1655" s="39" t="s">
        <v>3315</v>
      </c>
    </row>
    <row r="1656" customFormat="false" ht="18" hidden="false" customHeight="true" outlineLevel="0" collapsed="false">
      <c r="A1656" s="47" t="n">
        <v>1655</v>
      </c>
      <c r="B1656" s="39" t="s">
        <v>2828</v>
      </c>
      <c r="C1656" s="39" t="s">
        <v>2829</v>
      </c>
      <c r="D1656" s="39" t="s">
        <v>2850</v>
      </c>
      <c r="E1656" s="48" t="s">
        <v>2834</v>
      </c>
      <c r="F1656" s="49" t="s">
        <v>3465</v>
      </c>
      <c r="G1656" s="39" t="s">
        <v>2852</v>
      </c>
    </row>
    <row r="1657" customFormat="false" ht="18" hidden="false" customHeight="true" outlineLevel="0" collapsed="false">
      <c r="A1657" s="47" t="n">
        <v>1656</v>
      </c>
      <c r="B1657" s="39" t="s">
        <v>2828</v>
      </c>
      <c r="C1657" s="39" t="s">
        <v>2829</v>
      </c>
      <c r="D1657" s="39" t="s">
        <v>109</v>
      </c>
      <c r="E1657" s="48" t="s">
        <v>1851</v>
      </c>
      <c r="F1657" s="49" t="s">
        <v>151</v>
      </c>
      <c r="G1657" s="39" t="s">
        <v>2853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1417"/>
    <pageSetUpPr fitToPage="tru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8" t="s">
        <v>3466</v>
      </c>
      <c r="B1" s="8" t="s">
        <v>3467</v>
      </c>
      <c r="C1" s="8" t="s">
        <v>3468</v>
      </c>
      <c r="D1" s="8" t="s">
        <v>3469</v>
      </c>
      <c r="E1" s="8" t="s">
        <v>3470</v>
      </c>
      <c r="F1" s="8" t="s">
        <v>3471</v>
      </c>
      <c r="G1" s="8" t="s">
        <v>3472</v>
      </c>
    </row>
    <row r="2" customFormat="false" ht="19.5" hidden="false" customHeight="true" outlineLevel="0" collapsed="false">
      <c r="A2" s="38" t="s">
        <v>177</v>
      </c>
      <c r="B2" s="39" t="s">
        <v>1135</v>
      </c>
      <c r="C2" s="39" t="s">
        <v>183</v>
      </c>
      <c r="D2" s="39" t="s">
        <v>3473</v>
      </c>
      <c r="E2" s="36" t="n">
        <v>2</v>
      </c>
      <c r="F2" s="39" t="s">
        <v>95</v>
      </c>
      <c r="G2" s="39" t="s">
        <v>3474</v>
      </c>
    </row>
    <row r="3" customFormat="false" ht="19.5" hidden="false" customHeight="true" outlineLevel="0" collapsed="false">
      <c r="A3" s="38" t="s">
        <v>419</v>
      </c>
      <c r="B3" s="39" t="s">
        <v>1999</v>
      </c>
      <c r="C3" s="39" t="s">
        <v>423</v>
      </c>
      <c r="D3" s="39" t="s">
        <v>3475</v>
      </c>
      <c r="E3" s="36" t="n">
        <v>2</v>
      </c>
      <c r="F3" s="39" t="s">
        <v>91</v>
      </c>
      <c r="G3" s="39" t="s">
        <v>3474</v>
      </c>
    </row>
    <row r="4" customFormat="false" ht="19.5" hidden="false" customHeight="true" outlineLevel="0" collapsed="false">
      <c r="A4" s="38" t="s">
        <v>485</v>
      </c>
      <c r="B4" s="39" t="s">
        <v>1153</v>
      </c>
      <c r="C4" s="39" t="s">
        <v>489</v>
      </c>
      <c r="D4" s="39" t="s">
        <v>3476</v>
      </c>
      <c r="E4" s="36" t="n">
        <v>2</v>
      </c>
      <c r="F4" s="39" t="s">
        <v>91</v>
      </c>
      <c r="G4" s="39" t="s">
        <v>3474</v>
      </c>
    </row>
    <row r="5" customFormat="false" ht="19.5" hidden="false" customHeight="true" outlineLevel="0" collapsed="false">
      <c r="A5" s="38" t="s">
        <v>208</v>
      </c>
      <c r="B5" s="39" t="s">
        <v>1169</v>
      </c>
      <c r="C5" s="39" t="s">
        <v>212</v>
      </c>
      <c r="D5" s="39" t="s">
        <v>3477</v>
      </c>
      <c r="E5" s="36" t="n">
        <v>2</v>
      </c>
      <c r="F5" s="39" t="s">
        <v>91</v>
      </c>
      <c r="G5" s="39" t="s">
        <v>3478</v>
      </c>
    </row>
    <row r="6" customFormat="false" ht="19.5" hidden="false" customHeight="true" outlineLevel="0" collapsed="false">
      <c r="A6" s="38" t="s">
        <v>842</v>
      </c>
      <c r="B6" s="39" t="s">
        <v>1186</v>
      </c>
      <c r="C6" s="39" t="s">
        <v>845</v>
      </c>
      <c r="D6" s="39" t="s">
        <v>3479</v>
      </c>
      <c r="E6" s="36" t="n">
        <v>2</v>
      </c>
      <c r="F6" s="39" t="s">
        <v>91</v>
      </c>
      <c r="G6" s="39" t="s">
        <v>3474</v>
      </c>
    </row>
    <row r="7" customFormat="false" ht="19.5" hidden="false" customHeight="true" outlineLevel="0" collapsed="false">
      <c r="A7" s="38" t="s">
        <v>184</v>
      </c>
      <c r="B7" s="39" t="s">
        <v>1214</v>
      </c>
      <c r="C7" s="39" t="s">
        <v>190</v>
      </c>
      <c r="D7" s="39" t="s">
        <v>3480</v>
      </c>
      <c r="E7" s="36" t="n">
        <v>3</v>
      </c>
      <c r="F7" s="39" t="s">
        <v>91</v>
      </c>
      <c r="G7" s="39" t="s">
        <v>3474</v>
      </c>
    </row>
    <row r="8" customFormat="false" ht="19.5" hidden="false" customHeight="true" outlineLevel="0" collapsed="false">
      <c r="A8" s="38" t="s">
        <v>619</v>
      </c>
      <c r="B8" s="39" t="s">
        <v>2323</v>
      </c>
      <c r="C8" s="39" t="s">
        <v>622</v>
      </c>
      <c r="D8" s="39" t="s">
        <v>3481</v>
      </c>
      <c r="E8" s="36" t="n">
        <v>2</v>
      </c>
      <c r="F8" s="39" t="s">
        <v>91</v>
      </c>
      <c r="G8" s="39" t="s">
        <v>3474</v>
      </c>
    </row>
    <row r="9" customFormat="false" ht="19.5" hidden="false" customHeight="true" outlineLevel="0" collapsed="false">
      <c r="A9" s="38" t="s">
        <v>873</v>
      </c>
      <c r="B9" s="39" t="s">
        <v>1249</v>
      </c>
      <c r="C9" s="39" t="s">
        <v>876</v>
      </c>
      <c r="D9" s="39" t="s">
        <v>3482</v>
      </c>
      <c r="E9" s="36" t="n">
        <v>2</v>
      </c>
      <c r="F9" s="39" t="s">
        <v>91</v>
      </c>
      <c r="G9" s="39" t="s">
        <v>3478</v>
      </c>
    </row>
    <row r="10" customFormat="false" ht="19.5" hidden="false" customHeight="true" outlineLevel="0" collapsed="false">
      <c r="A10" s="38" t="s">
        <v>803</v>
      </c>
      <c r="B10" s="39" t="s">
        <v>2914</v>
      </c>
      <c r="C10" s="39" t="s">
        <v>806</v>
      </c>
      <c r="D10" s="39" t="s">
        <v>3483</v>
      </c>
      <c r="E10" s="36" t="n">
        <v>3</v>
      </c>
      <c r="F10" s="39" t="s">
        <v>91</v>
      </c>
      <c r="G10" s="39" t="s">
        <v>3474</v>
      </c>
    </row>
    <row r="11" customFormat="false" ht="19.5" hidden="false" customHeight="true" outlineLevel="0" collapsed="false">
      <c r="A11" s="38" t="s">
        <v>522</v>
      </c>
      <c r="B11" s="39" t="s">
        <v>2117</v>
      </c>
      <c r="C11" s="39" t="s">
        <v>526</v>
      </c>
      <c r="D11" s="39" t="s">
        <v>3484</v>
      </c>
      <c r="E11" s="36" t="n">
        <v>2</v>
      </c>
      <c r="F11" s="39" t="s">
        <v>91</v>
      </c>
      <c r="G11" s="39" t="s">
        <v>3474</v>
      </c>
    </row>
    <row r="12" customFormat="false" ht="19.5" hidden="false" customHeight="true" outlineLevel="0" collapsed="false">
      <c r="A12" s="38" t="s">
        <v>532</v>
      </c>
      <c r="B12" s="39" t="s">
        <v>1296</v>
      </c>
      <c r="C12" s="39" t="s">
        <v>536</v>
      </c>
      <c r="D12" s="39" t="s">
        <v>3485</v>
      </c>
      <c r="E12" s="36" t="n">
        <v>2</v>
      </c>
      <c r="F12" s="39" t="s">
        <v>93</v>
      </c>
      <c r="G12" s="39" t="s">
        <v>3474</v>
      </c>
    </row>
    <row r="13" customFormat="false" ht="19.5" hidden="false" customHeight="true" outlineLevel="0" collapsed="false">
      <c r="A13" s="38" t="s">
        <v>604</v>
      </c>
      <c r="B13" s="39" t="s">
        <v>1317</v>
      </c>
      <c r="C13" s="39" t="s">
        <v>609</v>
      </c>
      <c r="D13" s="39" t="s">
        <v>3486</v>
      </c>
      <c r="E13" s="36" t="n">
        <v>2</v>
      </c>
      <c r="F13" s="39" t="s">
        <v>91</v>
      </c>
      <c r="G13" s="39" t="s">
        <v>3474</v>
      </c>
    </row>
    <row r="14" customFormat="false" ht="19.5" hidden="false" customHeight="true" outlineLevel="0" collapsed="false">
      <c r="A14" s="38" t="s">
        <v>517</v>
      </c>
      <c r="B14" s="39" t="s">
        <v>3389</v>
      </c>
      <c r="C14" s="39" t="s">
        <v>521</v>
      </c>
      <c r="D14" s="39" t="s">
        <v>3487</v>
      </c>
      <c r="E14" s="36" t="n">
        <v>2</v>
      </c>
      <c r="F14" s="39" t="s">
        <v>91</v>
      </c>
      <c r="G14" s="39" t="s">
        <v>3474</v>
      </c>
    </row>
    <row r="15" customFormat="false" ht="19.5" hidden="false" customHeight="true" outlineLevel="0" collapsed="false">
      <c r="A15" s="38" t="s">
        <v>933</v>
      </c>
      <c r="B15" s="39" t="s">
        <v>1348</v>
      </c>
      <c r="C15" s="39" t="s">
        <v>936</v>
      </c>
      <c r="D15" s="39" t="s">
        <v>3488</v>
      </c>
      <c r="E15" s="36" t="n">
        <v>2</v>
      </c>
      <c r="F15" s="39" t="s">
        <v>91</v>
      </c>
      <c r="G15" s="39" t="s">
        <v>3474</v>
      </c>
    </row>
    <row r="16" customFormat="false" ht="19.5" hidden="false" customHeight="true" outlineLevel="0" collapsed="false">
      <c r="A16" s="38" t="s">
        <v>655</v>
      </c>
      <c r="B16" s="39" t="s">
        <v>1355</v>
      </c>
      <c r="C16" s="39" t="s">
        <v>658</v>
      </c>
      <c r="D16" s="39" t="s">
        <v>3489</v>
      </c>
      <c r="E16" s="36" t="n">
        <v>2</v>
      </c>
      <c r="F16" s="39" t="s">
        <v>91</v>
      </c>
      <c r="G16" s="39" t="s">
        <v>3474</v>
      </c>
    </row>
    <row r="17" customFormat="false" ht="19.5" hidden="false" customHeight="true" outlineLevel="0" collapsed="false">
      <c r="A17" s="38" t="s">
        <v>370</v>
      </c>
      <c r="B17" s="39" t="s">
        <v>2957</v>
      </c>
      <c r="C17" s="39" t="s">
        <v>374</v>
      </c>
      <c r="D17" s="39" t="s">
        <v>3490</v>
      </c>
      <c r="E17" s="36" t="n">
        <v>2</v>
      </c>
      <c r="F17" s="39" t="s">
        <v>91</v>
      </c>
      <c r="G17" s="39" t="s">
        <v>3474</v>
      </c>
    </row>
    <row r="18" customFormat="false" ht="19.5" hidden="false" customHeight="true" outlineLevel="0" collapsed="false">
      <c r="A18" s="38" t="s">
        <v>379</v>
      </c>
      <c r="B18" s="39" t="s">
        <v>1419</v>
      </c>
      <c r="C18" s="39" t="s">
        <v>382</v>
      </c>
      <c r="D18" s="39" t="s">
        <v>3491</v>
      </c>
      <c r="E18" s="36" t="n">
        <v>2</v>
      </c>
      <c r="F18" s="39" t="s">
        <v>91</v>
      </c>
      <c r="G18" s="39" t="s">
        <v>3474</v>
      </c>
    </row>
    <row r="19" customFormat="false" ht="19.5" hidden="false" customHeight="true" outlineLevel="0" collapsed="false">
      <c r="A19" s="38" t="s">
        <v>219</v>
      </c>
      <c r="B19" s="39" t="s">
        <v>1700</v>
      </c>
      <c r="C19" s="39" t="s">
        <v>223</v>
      </c>
      <c r="D19" s="39" t="s">
        <v>3492</v>
      </c>
      <c r="E19" s="36" t="n">
        <v>2</v>
      </c>
      <c r="F19" s="39" t="s">
        <v>91</v>
      </c>
      <c r="G19" s="39" t="s">
        <v>3478</v>
      </c>
    </row>
    <row r="20" customFormat="false" ht="19.5" hidden="false" customHeight="true" outlineLevel="0" collapsed="false">
      <c r="A20" s="38" t="s">
        <v>469</v>
      </c>
      <c r="B20" s="39" t="s">
        <v>2592</v>
      </c>
      <c r="C20" s="39" t="s">
        <v>474</v>
      </c>
      <c r="D20" s="39" t="s">
        <v>3493</v>
      </c>
      <c r="E20" s="36" t="n">
        <v>3</v>
      </c>
      <c r="F20" s="39" t="s">
        <v>91</v>
      </c>
      <c r="G20" s="39" t="s">
        <v>3474</v>
      </c>
    </row>
    <row r="21" customFormat="false" ht="19.5" hidden="false" customHeight="true" outlineLevel="0" collapsed="false">
      <c r="A21" s="38" t="s">
        <v>978</v>
      </c>
      <c r="B21" s="39" t="s">
        <v>1494</v>
      </c>
      <c r="C21" s="39" t="s">
        <v>981</v>
      </c>
      <c r="D21" s="39" t="s">
        <v>3494</v>
      </c>
      <c r="E21" s="36" t="n">
        <v>3</v>
      </c>
      <c r="F21" s="39" t="s">
        <v>91</v>
      </c>
      <c r="G21" s="39" t="s">
        <v>3474</v>
      </c>
    </row>
    <row r="22" customFormat="false" ht="19.5" hidden="false" customHeight="true" outlineLevel="0" collapsed="false">
      <c r="A22" s="38" t="s">
        <v>760</v>
      </c>
      <c r="B22" s="39" t="s">
        <v>1502</v>
      </c>
      <c r="C22" s="39" t="s">
        <v>764</v>
      </c>
      <c r="D22" s="39" t="s">
        <v>3495</v>
      </c>
      <c r="E22" s="36" t="n">
        <v>2</v>
      </c>
      <c r="F22" s="39" t="s">
        <v>91</v>
      </c>
      <c r="G22" s="39" t="s">
        <v>3474</v>
      </c>
    </row>
    <row r="23" customFormat="false" ht="19.5" hidden="false" customHeight="true" outlineLevel="0" collapsed="false">
      <c r="A23" s="38" t="s">
        <v>835</v>
      </c>
      <c r="B23" s="39" t="s">
        <v>1542</v>
      </c>
      <c r="C23" s="39" t="s">
        <v>838</v>
      </c>
      <c r="D23" s="39" t="s">
        <v>3496</v>
      </c>
      <c r="E23" s="36" t="n">
        <v>2</v>
      </c>
      <c r="F23" s="39" t="s">
        <v>91</v>
      </c>
      <c r="G23" s="39" t="s">
        <v>3474</v>
      </c>
    </row>
    <row r="24" customFormat="false" ht="19.5" hidden="false" customHeight="true" outlineLevel="0" collapsed="false">
      <c r="A24" s="38" t="s">
        <v>449</v>
      </c>
      <c r="B24" s="39" t="s">
        <v>1583</v>
      </c>
      <c r="C24" s="39" t="s">
        <v>453</v>
      </c>
      <c r="D24" s="39" t="s">
        <v>3497</v>
      </c>
      <c r="E24" s="36" t="n">
        <v>2</v>
      </c>
      <c r="F24" s="39" t="s">
        <v>91</v>
      </c>
      <c r="G24" s="39" t="s">
        <v>3474</v>
      </c>
    </row>
    <row r="25" customFormat="false" ht="19.5" hidden="false" customHeight="true" outlineLevel="0" collapsed="false">
      <c r="A25" s="38" t="s">
        <v>584</v>
      </c>
      <c r="B25" s="39" t="s">
        <v>1861</v>
      </c>
      <c r="C25" s="39" t="s">
        <v>587</v>
      </c>
      <c r="D25" s="39" t="s">
        <v>3498</v>
      </c>
      <c r="E25" s="36" t="n">
        <v>2</v>
      </c>
      <c r="F25" s="39" t="s">
        <v>91</v>
      </c>
      <c r="G25" s="39" t="s">
        <v>3474</v>
      </c>
    </row>
    <row r="26" customFormat="false" ht="19.5" hidden="false" customHeight="true" outlineLevel="0" collapsed="false">
      <c r="A26" s="38" t="s">
        <v>659</v>
      </c>
      <c r="B26" s="39" t="s">
        <v>1607</v>
      </c>
      <c r="C26" s="39" t="s">
        <v>662</v>
      </c>
      <c r="D26" s="39" t="s">
        <v>3499</v>
      </c>
      <c r="E26" s="36" t="n">
        <v>3</v>
      </c>
      <c r="F26" s="39" t="s">
        <v>91</v>
      </c>
      <c r="G26" s="39" t="s">
        <v>3474</v>
      </c>
    </row>
    <row r="27" customFormat="false" ht="19.5" hidden="false" customHeight="true" outlineLevel="0" collapsed="false">
      <c r="A27" s="38" t="s">
        <v>924</v>
      </c>
      <c r="B27" s="39" t="s">
        <v>1637</v>
      </c>
      <c r="C27" s="39" t="s">
        <v>928</v>
      </c>
      <c r="D27" s="39" t="s">
        <v>3500</v>
      </c>
      <c r="E27" s="36" t="n">
        <v>2</v>
      </c>
      <c r="F27" s="39" t="s">
        <v>91</v>
      </c>
      <c r="G27" s="39" t="s">
        <v>3474</v>
      </c>
    </row>
    <row r="28" customFormat="false" ht="19.5" hidden="false" customHeight="true" outlineLevel="0" collapsed="false">
      <c r="A28" s="38" t="s">
        <v>495</v>
      </c>
      <c r="B28" s="39" t="s">
        <v>1644</v>
      </c>
      <c r="C28" s="39" t="s">
        <v>499</v>
      </c>
      <c r="D28" s="39" t="s">
        <v>3501</v>
      </c>
      <c r="E28" s="36" t="n">
        <v>2</v>
      </c>
      <c r="F28" s="39" t="s">
        <v>91</v>
      </c>
      <c r="G28" s="39" t="s">
        <v>3474</v>
      </c>
    </row>
    <row r="29" customFormat="false" ht="19.5" hidden="false" customHeight="true" outlineLevel="0" collapsed="false">
      <c r="A29" s="38" t="s">
        <v>807</v>
      </c>
      <c r="B29" s="39" t="s">
        <v>1651</v>
      </c>
      <c r="C29" s="39" t="s">
        <v>811</v>
      </c>
      <c r="D29" s="39" t="s">
        <v>3502</v>
      </c>
      <c r="E29" s="36" t="n">
        <v>2</v>
      </c>
      <c r="F29" s="39" t="s">
        <v>91</v>
      </c>
      <c r="G29" s="39" t="s">
        <v>3474</v>
      </c>
    </row>
    <row r="30" customFormat="false" ht="19.5" hidden="false" customHeight="true" outlineLevel="0" collapsed="false">
      <c r="A30" s="38" t="s">
        <v>755</v>
      </c>
      <c r="B30" s="39" t="s">
        <v>1663</v>
      </c>
      <c r="C30" s="39" t="s">
        <v>759</v>
      </c>
      <c r="D30" s="39" t="s">
        <v>3503</v>
      </c>
      <c r="E30" s="36" t="n">
        <v>2</v>
      </c>
      <c r="F30" s="39" t="s">
        <v>91</v>
      </c>
      <c r="G30" s="39" t="s">
        <v>3474</v>
      </c>
    </row>
    <row r="31" customFormat="false" ht="19.5" hidden="false" customHeight="true" outlineLevel="0" collapsed="false">
      <c r="A31" s="38" t="s">
        <v>241</v>
      </c>
      <c r="B31" s="39" t="s">
        <v>1670</v>
      </c>
      <c r="C31" s="39" t="s">
        <v>246</v>
      </c>
      <c r="D31" s="39" t="s">
        <v>3504</v>
      </c>
      <c r="E31" s="36" t="n">
        <v>2</v>
      </c>
      <c r="F31" s="39" t="s">
        <v>91</v>
      </c>
      <c r="G31" s="39" t="s">
        <v>3474</v>
      </c>
    </row>
    <row r="32" customFormat="false" ht="19.5" hidden="false" customHeight="true" outlineLevel="0" collapsed="false">
      <c r="A32" s="38" t="s">
        <v>646</v>
      </c>
      <c r="B32" s="39" t="s">
        <v>1689</v>
      </c>
      <c r="C32" s="39" t="s">
        <v>650</v>
      </c>
      <c r="D32" s="39" t="s">
        <v>3505</v>
      </c>
      <c r="E32" s="36" t="n">
        <v>3</v>
      </c>
      <c r="F32" s="39" t="s">
        <v>91</v>
      </c>
      <c r="G32" s="39" t="s">
        <v>3474</v>
      </c>
    </row>
    <row r="33" customFormat="false" ht="19.5" hidden="false" customHeight="true" outlineLevel="0" collapsed="false">
      <c r="A33" s="38" t="s">
        <v>651</v>
      </c>
      <c r="B33" s="39" t="s">
        <v>1704</v>
      </c>
      <c r="C33" s="39" t="s">
        <v>654</v>
      </c>
      <c r="D33" s="39" t="s">
        <v>3506</v>
      </c>
      <c r="E33" s="36" t="n">
        <v>3</v>
      </c>
      <c r="F33" s="39" t="s">
        <v>91</v>
      </c>
      <c r="G33" s="39" t="s">
        <v>3474</v>
      </c>
    </row>
    <row r="34" customFormat="false" ht="19.5" hidden="false" customHeight="true" outlineLevel="0" collapsed="false">
      <c r="A34" s="38" t="s">
        <v>1073</v>
      </c>
      <c r="B34" s="39" t="s">
        <v>1711</v>
      </c>
      <c r="C34" s="39" t="s">
        <v>1076</v>
      </c>
      <c r="D34" s="39" t="s">
        <v>3507</v>
      </c>
      <c r="E34" s="36" t="n">
        <v>2</v>
      </c>
      <c r="F34" s="39" t="s">
        <v>91</v>
      </c>
      <c r="G34" s="39" t="s">
        <v>3474</v>
      </c>
    </row>
    <row r="35" customFormat="false" ht="19.5" hidden="false" customHeight="true" outlineLevel="0" collapsed="false">
      <c r="A35" s="38" t="s">
        <v>680</v>
      </c>
      <c r="B35" s="39" t="s">
        <v>1731</v>
      </c>
      <c r="C35" s="39" t="s">
        <v>684</v>
      </c>
      <c r="D35" s="39" t="s">
        <v>3508</v>
      </c>
      <c r="E35" s="36" t="n">
        <v>2</v>
      </c>
      <c r="F35" s="39" t="s">
        <v>93</v>
      </c>
      <c r="G35" s="39" t="s">
        <v>3474</v>
      </c>
    </row>
    <row r="36" customFormat="false" ht="19.5" hidden="false" customHeight="true" outlineLevel="0" collapsed="false">
      <c r="A36" s="38" t="s">
        <v>281</v>
      </c>
      <c r="B36" s="39" t="s">
        <v>1737</v>
      </c>
      <c r="C36" s="39" t="s">
        <v>286</v>
      </c>
      <c r="D36" s="39" t="s">
        <v>3509</v>
      </c>
      <c r="E36" s="36" t="n">
        <v>2</v>
      </c>
      <c r="F36" s="39" t="s">
        <v>91</v>
      </c>
      <c r="G36" s="39" t="s">
        <v>3474</v>
      </c>
    </row>
    <row r="37" customFormat="false" ht="19.5" hidden="false" customHeight="true" outlineLevel="0" collapsed="false">
      <c r="A37" s="38" t="s">
        <v>987</v>
      </c>
      <c r="B37" s="39" t="s">
        <v>2702</v>
      </c>
      <c r="C37" s="39" t="s">
        <v>990</v>
      </c>
      <c r="D37" s="39" t="s">
        <v>3510</v>
      </c>
      <c r="E37" s="36" t="n">
        <v>3</v>
      </c>
      <c r="F37" s="39" t="s">
        <v>91</v>
      </c>
      <c r="G37" s="39" t="s">
        <v>3474</v>
      </c>
    </row>
    <row r="38" customFormat="false" ht="19.5" hidden="false" customHeight="true" outlineLevel="0" collapsed="false">
      <c r="A38" s="38" t="s">
        <v>899</v>
      </c>
      <c r="B38" s="39" t="s">
        <v>2043</v>
      </c>
      <c r="C38" s="39" t="s">
        <v>902</v>
      </c>
      <c r="D38" s="39" t="s">
        <v>3511</v>
      </c>
      <c r="E38" s="36" t="n">
        <v>2</v>
      </c>
      <c r="F38" s="39" t="s">
        <v>91</v>
      </c>
      <c r="G38" s="39" t="s">
        <v>3474</v>
      </c>
    </row>
    <row r="39" customFormat="false" ht="19.5" hidden="false" customHeight="true" outlineLevel="0" collapsed="false">
      <c r="A39" s="38" t="s">
        <v>708</v>
      </c>
      <c r="B39" s="39" t="s">
        <v>1788</v>
      </c>
      <c r="C39" s="39" t="s">
        <v>712</v>
      </c>
      <c r="D39" s="39" t="s">
        <v>3512</v>
      </c>
      <c r="E39" s="36" t="n">
        <v>3</v>
      </c>
      <c r="F39" s="39" t="s">
        <v>91</v>
      </c>
      <c r="G39" s="39" t="s">
        <v>3474</v>
      </c>
    </row>
    <row r="40" customFormat="false" ht="19.5" hidden="false" customHeight="true" outlineLevel="0" collapsed="false">
      <c r="A40" s="38" t="s">
        <v>1038</v>
      </c>
      <c r="B40" s="39" t="s">
        <v>1822</v>
      </c>
      <c r="C40" s="39" t="s">
        <v>1041</v>
      </c>
      <c r="D40" s="39" t="s">
        <v>3513</v>
      </c>
      <c r="E40" s="36" t="n">
        <v>2</v>
      </c>
      <c r="F40" s="39" t="s">
        <v>91</v>
      </c>
      <c r="G40" s="39" t="s">
        <v>3474</v>
      </c>
    </row>
    <row r="41" customFormat="false" ht="19.5" hidden="false" customHeight="true" outlineLevel="0" collapsed="false">
      <c r="A41" s="38" t="s">
        <v>551</v>
      </c>
      <c r="B41" s="39" t="s">
        <v>1830</v>
      </c>
      <c r="C41" s="39" t="s">
        <v>556</v>
      </c>
      <c r="D41" s="39" t="s">
        <v>3514</v>
      </c>
      <c r="E41" s="36" t="n">
        <v>2</v>
      </c>
      <c r="F41" s="39" t="s">
        <v>91</v>
      </c>
      <c r="G41" s="39" t="s">
        <v>3474</v>
      </c>
    </row>
    <row r="42" customFormat="false" ht="19.5" hidden="false" customHeight="true" outlineLevel="0" collapsed="false">
      <c r="A42" s="38" t="s">
        <v>319</v>
      </c>
      <c r="B42" s="39" t="s">
        <v>3182</v>
      </c>
      <c r="C42" s="39" t="s">
        <v>325</v>
      </c>
      <c r="D42" s="39" t="s">
        <v>3515</v>
      </c>
      <c r="E42" s="36" t="n">
        <v>2</v>
      </c>
      <c r="F42" s="39" t="s">
        <v>91</v>
      </c>
      <c r="G42" s="39" t="s">
        <v>3474</v>
      </c>
    </row>
    <row r="43" customFormat="false" ht="19.5" hidden="false" customHeight="true" outlineLevel="0" collapsed="false">
      <c r="A43" s="38" t="s">
        <v>765</v>
      </c>
      <c r="B43" s="39" t="s">
        <v>2017</v>
      </c>
      <c r="C43" s="39" t="s">
        <v>768</v>
      </c>
      <c r="D43" s="39" t="s">
        <v>3516</v>
      </c>
      <c r="E43" s="36" t="n">
        <v>2</v>
      </c>
      <c r="F43" s="39" t="s">
        <v>91</v>
      </c>
      <c r="G43" s="39" t="s">
        <v>3474</v>
      </c>
    </row>
    <row r="44" customFormat="false" ht="19.5" hidden="false" customHeight="true" outlineLevel="0" collapsed="false">
      <c r="A44" s="38" t="s">
        <v>699</v>
      </c>
      <c r="B44" s="39" t="s">
        <v>3229</v>
      </c>
      <c r="C44" s="39" t="s">
        <v>702</v>
      </c>
      <c r="D44" s="39" t="s">
        <v>3517</v>
      </c>
      <c r="E44" s="36" t="n">
        <v>2</v>
      </c>
      <c r="F44" s="39" t="s">
        <v>91</v>
      </c>
      <c r="G44" s="39" t="s">
        <v>3474</v>
      </c>
    </row>
    <row r="45" customFormat="false" ht="19.5" hidden="false" customHeight="true" outlineLevel="0" collapsed="false">
      <c r="A45" s="38" t="s">
        <v>721</v>
      </c>
      <c r="B45" s="39" t="s">
        <v>2517</v>
      </c>
      <c r="C45" s="39" t="s">
        <v>725</v>
      </c>
      <c r="D45" s="39" t="s">
        <v>3518</v>
      </c>
      <c r="E45" s="36" t="n">
        <v>2</v>
      </c>
      <c r="F45" s="39" t="s">
        <v>91</v>
      </c>
      <c r="G45" s="39" t="s">
        <v>3474</v>
      </c>
    </row>
    <row r="46" customFormat="false" ht="19.5" hidden="false" customHeight="true" outlineLevel="0" collapsed="false">
      <c r="A46" s="38" t="s">
        <v>463</v>
      </c>
      <c r="B46" s="39" t="s">
        <v>2136</v>
      </c>
      <c r="C46" s="39" t="s">
        <v>468</v>
      </c>
      <c r="D46" s="39" t="s">
        <v>3519</v>
      </c>
      <c r="E46" s="36" t="n">
        <v>2</v>
      </c>
      <c r="F46" s="39" t="s">
        <v>91</v>
      </c>
      <c r="G46" s="39" t="s">
        <v>3474</v>
      </c>
    </row>
    <row r="47" customFormat="false" ht="19.5" hidden="false" customHeight="true" outlineLevel="0" collapsed="false">
      <c r="A47" s="38" t="s">
        <v>937</v>
      </c>
      <c r="B47" s="39" t="s">
        <v>2179</v>
      </c>
      <c r="C47" s="39" t="s">
        <v>940</v>
      </c>
      <c r="D47" s="39" t="s">
        <v>3520</v>
      </c>
      <c r="E47" s="36" t="n">
        <v>2</v>
      </c>
      <c r="F47" s="39" t="s">
        <v>91</v>
      </c>
      <c r="G47" s="39" t="s">
        <v>3474</v>
      </c>
    </row>
    <row r="48" customFormat="false" ht="19.5" hidden="false" customHeight="true" outlineLevel="0" collapsed="false">
      <c r="A48" s="38" t="s">
        <v>308</v>
      </c>
      <c r="B48" s="39" t="s">
        <v>2198</v>
      </c>
      <c r="C48" s="39" t="s">
        <v>313</v>
      </c>
      <c r="D48" s="39" t="s">
        <v>3521</v>
      </c>
      <c r="E48" s="36" t="n">
        <v>2</v>
      </c>
      <c r="F48" s="39" t="s">
        <v>93</v>
      </c>
      <c r="G48" s="39" t="s">
        <v>3474</v>
      </c>
    </row>
    <row r="49" customFormat="false" ht="19.5" hidden="false" customHeight="true" outlineLevel="0" collapsed="false">
      <c r="A49" s="38" t="s">
        <v>191</v>
      </c>
      <c r="B49" s="39" t="s">
        <v>2297</v>
      </c>
      <c r="C49" s="39" t="s">
        <v>196</v>
      </c>
      <c r="D49" s="39" t="s">
        <v>3522</v>
      </c>
      <c r="E49" s="36" t="n">
        <v>2</v>
      </c>
      <c r="F49" s="39" t="s">
        <v>91</v>
      </c>
      <c r="G49" s="39" t="s">
        <v>3478</v>
      </c>
    </row>
    <row r="50" customFormat="false" ht="19.5" hidden="false" customHeight="true" outlineLevel="0" collapsed="false">
      <c r="A50" s="38" t="s">
        <v>1034</v>
      </c>
      <c r="B50" s="39" t="s">
        <v>3308</v>
      </c>
      <c r="C50" s="39" t="s">
        <v>1037</v>
      </c>
      <c r="D50" s="39" t="s">
        <v>3523</v>
      </c>
      <c r="E50" s="36" t="n">
        <v>2</v>
      </c>
      <c r="F50" s="39" t="s">
        <v>91</v>
      </c>
      <c r="G50" s="39" t="s">
        <v>3474</v>
      </c>
    </row>
    <row r="51" customFormat="false" ht="19.5" hidden="false" customHeight="true" outlineLevel="0" collapsed="false">
      <c r="A51" s="38" t="s">
        <v>791</v>
      </c>
      <c r="B51" s="39" t="s">
        <v>2349</v>
      </c>
      <c r="C51" s="39" t="s">
        <v>794</v>
      </c>
      <c r="D51" s="39" t="s">
        <v>3524</v>
      </c>
      <c r="E51" s="36" t="n">
        <v>2</v>
      </c>
      <c r="F51" s="39" t="s">
        <v>91</v>
      </c>
      <c r="G51" s="39" t="s">
        <v>3474</v>
      </c>
    </row>
    <row r="52" customFormat="false" ht="19.5" hidden="false" customHeight="true" outlineLevel="0" collapsed="false">
      <c r="A52" s="38" t="s">
        <v>915</v>
      </c>
      <c r="B52" s="39" t="s">
        <v>2357</v>
      </c>
      <c r="C52" s="39" t="s">
        <v>918</v>
      </c>
      <c r="D52" s="39" t="s">
        <v>3525</v>
      </c>
      <c r="E52" s="36" t="n">
        <v>2</v>
      </c>
      <c r="F52" s="39" t="s">
        <v>91</v>
      </c>
      <c r="G52" s="39" t="s">
        <v>3474</v>
      </c>
    </row>
    <row r="53" customFormat="false" ht="19.5" hidden="false" customHeight="true" outlineLevel="0" collapsed="false">
      <c r="A53" s="38" t="s">
        <v>941</v>
      </c>
      <c r="B53" s="39" t="s">
        <v>3394</v>
      </c>
      <c r="C53" s="39" t="s">
        <v>944</v>
      </c>
      <c r="D53" s="39" t="s">
        <v>3526</v>
      </c>
      <c r="E53" s="36" t="n">
        <v>2</v>
      </c>
      <c r="F53" s="39" t="s">
        <v>91</v>
      </c>
      <c r="G53" s="39" t="s">
        <v>3478</v>
      </c>
    </row>
    <row r="54" customFormat="false" ht="19.5" hidden="false" customHeight="true" outlineLevel="0" collapsed="false">
      <c r="A54" s="38" t="s">
        <v>1030</v>
      </c>
      <c r="B54" s="39" t="s">
        <v>2783</v>
      </c>
      <c r="C54" s="39" t="s">
        <v>1033</v>
      </c>
      <c r="D54" s="39" t="s">
        <v>3527</v>
      </c>
      <c r="E54" s="36" t="n">
        <v>2</v>
      </c>
      <c r="F54" s="39" t="s">
        <v>91</v>
      </c>
      <c r="G54" s="39" t="s">
        <v>3478</v>
      </c>
    </row>
  </sheetData>
  <conditionalFormatting sqref="F2:F54">
    <cfRule type="cellIs" priority="2" operator="notEqual" aboveAverage="0" equalAverage="0" bottom="0" percent="0" rank="0" text="" dxfId="8">
      <formula>"Same email"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F8C"/>
    <pageSetUpPr fitToPage="tru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30"/>
    <col collapsed="false" customWidth="true" hidden="false" outlineLevel="0" max="7" min="7" style="0" width="5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27.75" hidden="false" customHeight="true" outlineLevel="0" collapsed="false">
      <c r="A1" s="8" t="s">
        <v>2835</v>
      </c>
      <c r="B1" s="8" t="s">
        <v>97</v>
      </c>
      <c r="C1" s="8" t="s">
        <v>3467</v>
      </c>
      <c r="D1" s="8" t="s">
        <v>68</v>
      </c>
      <c r="E1" s="8" t="s">
        <v>3528</v>
      </c>
      <c r="F1" s="8" t="s">
        <v>3529</v>
      </c>
      <c r="G1" s="8" t="s">
        <v>3530</v>
      </c>
      <c r="H1" s="8" t="s">
        <v>3531</v>
      </c>
      <c r="I1" s="8" t="s">
        <v>3532</v>
      </c>
      <c r="J1" s="8" t="s">
        <v>3533</v>
      </c>
      <c r="K1" s="8" t="s">
        <v>3534</v>
      </c>
    </row>
    <row r="2" customFormat="false" ht="19.5" hidden="false" customHeight="true" outlineLevel="0" collapsed="false">
      <c r="A2" s="47" t="n">
        <v>1</v>
      </c>
      <c r="B2" s="38" t="s">
        <v>115</v>
      </c>
      <c r="C2" s="39" t="s">
        <v>1935</v>
      </c>
      <c r="D2" s="39" t="s">
        <v>75</v>
      </c>
      <c r="E2" s="39" t="s">
        <v>109</v>
      </c>
      <c r="F2" s="39" t="s">
        <v>119</v>
      </c>
      <c r="G2" s="39" t="s">
        <v>3535</v>
      </c>
      <c r="H2" s="39" t="s">
        <v>3536</v>
      </c>
      <c r="I2" s="40" t="n">
        <f aca="false">WORKDAY(AsOfDate,IF(D2="VIP",2,IF(D2="Regular",3,5)))</f>
        <v>46302</v>
      </c>
      <c r="J2" s="39" t="s">
        <v>3537</v>
      </c>
      <c r="K2" s="39"/>
    </row>
    <row r="3" customFormat="false" ht="19.5" hidden="false" customHeight="true" outlineLevel="0" collapsed="false">
      <c r="A3" s="47" t="n">
        <v>2</v>
      </c>
      <c r="B3" s="38" t="s">
        <v>159</v>
      </c>
      <c r="C3" s="39" t="s">
        <v>2510</v>
      </c>
      <c r="D3" s="39" t="s">
        <v>74</v>
      </c>
      <c r="E3" s="39" t="s">
        <v>101</v>
      </c>
      <c r="F3" s="39" t="s">
        <v>162</v>
      </c>
      <c r="G3" s="39" t="s">
        <v>3538</v>
      </c>
      <c r="H3" s="39" t="s">
        <v>3536</v>
      </c>
      <c r="I3" s="40" t="n">
        <f aca="false">WORKDAY(AsOfDate,IF(D3="VIP",2,IF(D3="Regular",3,5)))</f>
        <v>46302</v>
      </c>
      <c r="J3" s="39" t="s">
        <v>3537</v>
      </c>
      <c r="K3" s="39"/>
    </row>
    <row r="4" customFormat="false" ht="19.5" hidden="false" customHeight="true" outlineLevel="0" collapsed="false">
      <c r="A4" s="47" t="n">
        <v>3</v>
      </c>
      <c r="B4" s="38" t="s">
        <v>229</v>
      </c>
      <c r="C4" s="39" t="s">
        <v>2585</v>
      </c>
      <c r="D4" s="39" t="s">
        <v>71</v>
      </c>
      <c r="E4" s="39" t="s">
        <v>100</v>
      </c>
      <c r="F4" s="39" t="s">
        <v>232</v>
      </c>
      <c r="G4" s="39" t="s">
        <v>3539</v>
      </c>
      <c r="H4" s="39" t="s">
        <v>3536</v>
      </c>
      <c r="I4" s="40" t="n">
        <f aca="false">WORKDAY(AsOfDate,IF(D4="VIP",2,IF(D4="Regular",3,5)))</f>
        <v>46297</v>
      </c>
      <c r="J4" s="39" t="s">
        <v>3537</v>
      </c>
      <c r="K4" s="39"/>
    </row>
    <row r="5" customFormat="false" ht="19.5" hidden="false" customHeight="true" outlineLevel="0" collapsed="false">
      <c r="A5" s="47" t="n">
        <v>4</v>
      </c>
      <c r="B5" s="38" t="s">
        <v>252</v>
      </c>
      <c r="C5" s="39" t="s">
        <v>3163</v>
      </c>
      <c r="D5" s="39" t="s">
        <v>74</v>
      </c>
      <c r="E5" s="39" t="s">
        <v>109</v>
      </c>
      <c r="F5" s="39" t="s">
        <v>256</v>
      </c>
      <c r="G5" s="39" t="s">
        <v>3535</v>
      </c>
      <c r="H5" s="39" t="s">
        <v>3536</v>
      </c>
      <c r="I5" s="40" t="n">
        <f aca="false">WORKDAY(AsOfDate,IF(D5="VIP",2,IF(D5="Regular",3,5)))</f>
        <v>46302</v>
      </c>
      <c r="J5" s="39" t="s">
        <v>3537</v>
      </c>
      <c r="K5" s="39"/>
    </row>
    <row r="6" customFormat="false" ht="19.5" hidden="false" customHeight="true" outlineLevel="0" collapsed="false">
      <c r="A6" s="47" t="n">
        <v>5</v>
      </c>
      <c r="B6" s="38" t="s">
        <v>287</v>
      </c>
      <c r="C6" s="39" t="s">
        <v>3283</v>
      </c>
      <c r="D6" s="39" t="s">
        <v>74</v>
      </c>
      <c r="E6" s="39" t="s">
        <v>100</v>
      </c>
      <c r="F6" s="39" t="s">
        <v>289</v>
      </c>
      <c r="G6" s="39" t="s">
        <v>3539</v>
      </c>
      <c r="H6" s="39" t="s">
        <v>3536</v>
      </c>
      <c r="I6" s="40" t="n">
        <f aca="false">WORKDAY(AsOfDate,IF(D6="VIP",2,IF(D6="Regular",3,5)))</f>
        <v>46302</v>
      </c>
      <c r="J6" s="39" t="s">
        <v>3537</v>
      </c>
      <c r="K6" s="39"/>
    </row>
    <row r="7" customFormat="false" ht="19.5" hidden="false" customHeight="true" outlineLevel="0" collapsed="false">
      <c r="A7" s="47" t="n">
        <v>6</v>
      </c>
      <c r="B7" s="38" t="s">
        <v>375</v>
      </c>
      <c r="C7" s="39" t="s">
        <v>3247</v>
      </c>
      <c r="D7" s="39" t="s">
        <v>75</v>
      </c>
      <c r="E7" s="39" t="s">
        <v>100</v>
      </c>
      <c r="F7" s="39" t="s">
        <v>377</v>
      </c>
      <c r="G7" s="39" t="s">
        <v>3539</v>
      </c>
      <c r="H7" s="39" t="s">
        <v>3536</v>
      </c>
      <c r="I7" s="40" t="n">
        <f aca="false">WORKDAY(AsOfDate,IF(D7="VIP",2,IF(D7="Regular",3,5)))</f>
        <v>46302</v>
      </c>
      <c r="J7" s="39" t="s">
        <v>3537</v>
      </c>
      <c r="K7" s="39"/>
    </row>
    <row r="8" customFormat="false" ht="19.5" hidden="false" customHeight="true" outlineLevel="0" collapsed="false">
      <c r="A8" s="47" t="n">
        <v>7</v>
      </c>
      <c r="B8" s="38" t="s">
        <v>411</v>
      </c>
      <c r="C8" s="39" t="s">
        <v>3329</v>
      </c>
      <c r="D8" s="39" t="s">
        <v>74</v>
      </c>
      <c r="E8" s="39" t="s">
        <v>100</v>
      </c>
      <c r="F8" s="39" t="s">
        <v>412</v>
      </c>
      <c r="G8" s="39" t="s">
        <v>3539</v>
      </c>
      <c r="H8" s="39" t="s">
        <v>3536</v>
      </c>
      <c r="I8" s="40" t="n">
        <f aca="false">WORKDAY(AsOfDate,IF(D8="VIP",2,IF(D8="Regular",3,5)))</f>
        <v>46302</v>
      </c>
      <c r="J8" s="39" t="s">
        <v>3537</v>
      </c>
      <c r="K8" s="39"/>
    </row>
    <row r="9" customFormat="false" ht="19.5" hidden="false" customHeight="true" outlineLevel="0" collapsed="false">
      <c r="A9" s="47" t="n">
        <v>8</v>
      </c>
      <c r="B9" s="38" t="s">
        <v>424</v>
      </c>
      <c r="C9" s="39" t="s">
        <v>2497</v>
      </c>
      <c r="D9" s="39" t="s">
        <v>74</v>
      </c>
      <c r="E9" s="39" t="s">
        <v>100</v>
      </c>
      <c r="F9" s="39" t="s">
        <v>427</v>
      </c>
      <c r="G9" s="39" t="s">
        <v>3539</v>
      </c>
      <c r="H9" s="39" t="s">
        <v>3536</v>
      </c>
      <c r="I9" s="40" t="n">
        <f aca="false">WORKDAY(AsOfDate,IF(D9="VIP",2,IF(D9="Regular",3,5)))</f>
        <v>46302</v>
      </c>
      <c r="J9" s="39" t="s">
        <v>3537</v>
      </c>
      <c r="K9" s="39"/>
    </row>
    <row r="10" customFormat="false" ht="19.5" hidden="false" customHeight="true" outlineLevel="0" collapsed="false">
      <c r="A10" s="47" t="n">
        <v>9</v>
      </c>
      <c r="B10" s="38" t="s">
        <v>429</v>
      </c>
      <c r="C10" s="39" t="s">
        <v>2149</v>
      </c>
      <c r="D10" s="39" t="s">
        <v>74</v>
      </c>
      <c r="E10" s="39" t="s">
        <v>100</v>
      </c>
      <c r="F10" s="39" t="s">
        <v>431</v>
      </c>
      <c r="G10" s="39" t="s">
        <v>3539</v>
      </c>
      <c r="H10" s="39" t="s">
        <v>3536</v>
      </c>
      <c r="I10" s="40" t="n">
        <f aca="false">WORKDAY(AsOfDate,IF(D10="VIP",2,IF(D10="Regular",3,5)))</f>
        <v>46302</v>
      </c>
      <c r="J10" s="39" t="s">
        <v>3537</v>
      </c>
      <c r="K10" s="39"/>
    </row>
    <row r="11" customFormat="false" ht="19.5" hidden="false" customHeight="true" outlineLevel="0" collapsed="false">
      <c r="A11" s="47" t="n">
        <v>10</v>
      </c>
      <c r="B11" s="38" t="s">
        <v>500</v>
      </c>
      <c r="C11" s="39" t="s">
        <v>2084</v>
      </c>
      <c r="D11" s="39" t="s">
        <v>71</v>
      </c>
      <c r="E11" s="39" t="s">
        <v>100</v>
      </c>
      <c r="F11" s="39" t="s">
        <v>501</v>
      </c>
      <c r="G11" s="39" t="s">
        <v>3539</v>
      </c>
      <c r="H11" s="39" t="s">
        <v>3536</v>
      </c>
      <c r="I11" s="40" t="n">
        <f aca="false">WORKDAY(AsOfDate,IF(D11="VIP",2,IF(D11="Regular",3,5)))</f>
        <v>46297</v>
      </c>
      <c r="J11" s="39" t="s">
        <v>3537</v>
      </c>
      <c r="K11" s="39"/>
    </row>
    <row r="12" customFormat="false" ht="19.5" hidden="false" customHeight="true" outlineLevel="0" collapsed="false">
      <c r="A12" s="47" t="n">
        <v>11</v>
      </c>
      <c r="B12" s="38" t="s">
        <v>557</v>
      </c>
      <c r="C12" s="39" t="s">
        <v>3252</v>
      </c>
      <c r="D12" s="39" t="s">
        <v>72</v>
      </c>
      <c r="E12" s="39" t="s">
        <v>100</v>
      </c>
      <c r="F12" s="39" t="s">
        <v>558</v>
      </c>
      <c r="G12" s="39" t="s">
        <v>3539</v>
      </c>
      <c r="H12" s="39" t="s">
        <v>3536</v>
      </c>
      <c r="I12" s="40" t="n">
        <f aca="false">WORKDAY(AsOfDate,IF(D12="VIP",2,IF(D12="Regular",3,5)))</f>
        <v>46300</v>
      </c>
      <c r="J12" s="39" t="s">
        <v>3537</v>
      </c>
      <c r="K12" s="39"/>
    </row>
    <row r="13" customFormat="false" ht="19.5" hidden="false" customHeight="true" outlineLevel="0" collapsed="false">
      <c r="A13" s="47" t="n">
        <v>12</v>
      </c>
      <c r="B13" s="38" t="s">
        <v>616</v>
      </c>
      <c r="C13" s="39" t="s">
        <v>3279</v>
      </c>
      <c r="D13" s="39" t="s">
        <v>72</v>
      </c>
      <c r="E13" s="39" t="s">
        <v>100</v>
      </c>
      <c r="F13" s="39" t="s">
        <v>617</v>
      </c>
      <c r="G13" s="39" t="s">
        <v>3539</v>
      </c>
      <c r="H13" s="39" t="s">
        <v>3536</v>
      </c>
      <c r="I13" s="40" t="n">
        <f aca="false">WORKDAY(AsOfDate,IF(D13="VIP",2,IF(D13="Regular",3,5)))</f>
        <v>46300</v>
      </c>
      <c r="J13" s="39" t="s">
        <v>3537</v>
      </c>
      <c r="K13" s="39"/>
    </row>
    <row r="14" customFormat="false" ht="19.5" hidden="false" customHeight="true" outlineLevel="0" collapsed="false">
      <c r="A14" s="47" t="n">
        <v>13</v>
      </c>
      <c r="B14" s="38" t="s">
        <v>632</v>
      </c>
      <c r="C14" s="39" t="s">
        <v>1915</v>
      </c>
      <c r="D14" s="39" t="s">
        <v>71</v>
      </c>
      <c r="E14" s="39" t="s">
        <v>109</v>
      </c>
      <c r="F14" s="39" t="s">
        <v>636</v>
      </c>
      <c r="G14" s="39" t="s">
        <v>3535</v>
      </c>
      <c r="H14" s="39" t="s">
        <v>3536</v>
      </c>
      <c r="I14" s="40" t="n">
        <f aca="false">WORKDAY(AsOfDate,IF(D14="VIP",2,IF(D14="Regular",3,5)))</f>
        <v>46297</v>
      </c>
      <c r="J14" s="39" t="s">
        <v>3537</v>
      </c>
      <c r="K14" s="39"/>
    </row>
    <row r="15" customFormat="false" ht="19.5" hidden="false" customHeight="true" outlineLevel="0" collapsed="false">
      <c r="A15" s="47" t="n">
        <v>14</v>
      </c>
      <c r="B15" s="38" t="s">
        <v>691</v>
      </c>
      <c r="C15" s="39" t="s">
        <v>2810</v>
      </c>
      <c r="D15" s="39" t="s">
        <v>75</v>
      </c>
      <c r="E15" s="39" t="s">
        <v>100</v>
      </c>
      <c r="F15" s="39" t="s">
        <v>693</v>
      </c>
      <c r="G15" s="39" t="s">
        <v>3539</v>
      </c>
      <c r="H15" s="39" t="s">
        <v>3536</v>
      </c>
      <c r="I15" s="40" t="n">
        <f aca="false">WORKDAY(AsOfDate,IF(D15="VIP",2,IF(D15="Regular",3,5)))</f>
        <v>46302</v>
      </c>
      <c r="J15" s="39" t="s">
        <v>3537</v>
      </c>
      <c r="K15" s="39"/>
    </row>
    <row r="16" customFormat="false" ht="19.5" hidden="false" customHeight="true" outlineLevel="0" collapsed="false">
      <c r="A16" s="47" t="n">
        <v>15</v>
      </c>
      <c r="B16" s="38" t="s">
        <v>750</v>
      </c>
      <c r="C16" s="39" t="s">
        <v>1868</v>
      </c>
      <c r="D16" s="39" t="s">
        <v>74</v>
      </c>
      <c r="E16" s="39" t="s">
        <v>109</v>
      </c>
      <c r="F16" s="39" t="s">
        <v>753</v>
      </c>
      <c r="G16" s="39" t="s">
        <v>3535</v>
      </c>
      <c r="H16" s="39" t="s">
        <v>3536</v>
      </c>
      <c r="I16" s="40" t="n">
        <f aca="false">WORKDAY(AsOfDate,IF(D16="VIP",2,IF(D16="Regular",3,5)))</f>
        <v>46302</v>
      </c>
      <c r="J16" s="39" t="s">
        <v>3537</v>
      </c>
      <c r="K16" s="39"/>
    </row>
    <row r="17" customFormat="false" ht="19.5" hidden="false" customHeight="true" outlineLevel="0" collapsed="false">
      <c r="A17" s="47" t="n">
        <v>16</v>
      </c>
      <c r="B17" s="38" t="s">
        <v>795</v>
      </c>
      <c r="C17" s="39" t="s">
        <v>3450</v>
      </c>
      <c r="D17" s="39" t="s">
        <v>71</v>
      </c>
      <c r="E17" s="39" t="s">
        <v>100</v>
      </c>
      <c r="F17" s="39" t="s">
        <v>796</v>
      </c>
      <c r="G17" s="39" t="s">
        <v>3539</v>
      </c>
      <c r="H17" s="39" t="s">
        <v>3536</v>
      </c>
      <c r="I17" s="40" t="n">
        <f aca="false">WORKDAY(AsOfDate,IF(D17="VIP",2,IF(D17="Regular",3,5)))</f>
        <v>46297</v>
      </c>
      <c r="J17" s="39" t="s">
        <v>3537</v>
      </c>
      <c r="K17" s="39"/>
    </row>
    <row r="18" customFormat="false" ht="19.5" hidden="false" customHeight="true" outlineLevel="0" collapsed="false">
      <c r="A18" s="47" t="n">
        <v>17</v>
      </c>
      <c r="B18" s="38" t="s">
        <v>812</v>
      </c>
      <c r="C18" s="39" t="s">
        <v>3425</v>
      </c>
      <c r="D18" s="39" t="s">
        <v>72</v>
      </c>
      <c r="E18" s="39" t="s">
        <v>100</v>
      </c>
      <c r="F18" s="39" t="s">
        <v>813</v>
      </c>
      <c r="G18" s="39" t="s">
        <v>3539</v>
      </c>
      <c r="H18" s="39" t="s">
        <v>3536</v>
      </c>
      <c r="I18" s="40" t="n">
        <f aca="false">WORKDAY(AsOfDate,IF(D18="VIP",2,IF(D18="Regular",3,5)))</f>
        <v>46300</v>
      </c>
      <c r="J18" s="39" t="s">
        <v>3537</v>
      </c>
      <c r="K18" s="39"/>
    </row>
    <row r="19" customFormat="false" ht="19.5" hidden="false" customHeight="true" outlineLevel="0" collapsed="false">
      <c r="A19" s="47" t="n">
        <v>18</v>
      </c>
      <c r="B19" s="38" t="s">
        <v>839</v>
      </c>
      <c r="C19" s="39" t="s">
        <v>1972</v>
      </c>
      <c r="D19" s="39" t="s">
        <v>71</v>
      </c>
      <c r="E19" s="39" t="s">
        <v>100</v>
      </c>
      <c r="F19" s="39" t="s">
        <v>840</v>
      </c>
      <c r="G19" s="39" t="s">
        <v>3539</v>
      </c>
      <c r="H19" s="39" t="s">
        <v>3536</v>
      </c>
      <c r="I19" s="40" t="n">
        <f aca="false">WORKDAY(AsOfDate,IF(D19="VIP",2,IF(D19="Regular",3,5)))</f>
        <v>46297</v>
      </c>
      <c r="J19" s="39" t="s">
        <v>3537</v>
      </c>
      <c r="K19" s="39"/>
    </row>
    <row r="20" customFormat="false" ht="19.5" hidden="false" customHeight="true" outlineLevel="0" collapsed="false">
      <c r="A20" s="47" t="n">
        <v>19</v>
      </c>
      <c r="B20" s="38" t="s">
        <v>886</v>
      </c>
      <c r="C20" s="39" t="s">
        <v>3351</v>
      </c>
      <c r="D20" s="39" t="s">
        <v>72</v>
      </c>
      <c r="E20" s="39" t="s">
        <v>100</v>
      </c>
      <c r="F20" s="39" t="s">
        <v>888</v>
      </c>
      <c r="G20" s="39" t="s">
        <v>3539</v>
      </c>
      <c r="H20" s="39" t="s">
        <v>3536</v>
      </c>
      <c r="I20" s="40" t="n">
        <f aca="false">WORKDAY(AsOfDate,IF(D20="VIP",2,IF(D20="Regular",3,5)))</f>
        <v>46300</v>
      </c>
      <c r="J20" s="39" t="s">
        <v>3537</v>
      </c>
      <c r="K20" s="39"/>
    </row>
    <row r="21" customFormat="false" ht="19.5" hidden="false" customHeight="true" outlineLevel="0" collapsed="false">
      <c r="A21" s="47" t="n">
        <v>20</v>
      </c>
      <c r="B21" s="38" t="s">
        <v>912</v>
      </c>
      <c r="C21" s="39" t="s">
        <v>2444</v>
      </c>
      <c r="D21" s="39" t="s">
        <v>72</v>
      </c>
      <c r="E21" s="39" t="s">
        <v>101</v>
      </c>
      <c r="F21" s="39" t="s">
        <v>913</v>
      </c>
      <c r="G21" s="39" t="s">
        <v>3538</v>
      </c>
      <c r="H21" s="39" t="s">
        <v>3536</v>
      </c>
      <c r="I21" s="40" t="n">
        <f aca="false">WORKDAY(AsOfDate,IF(D21="VIP",2,IF(D21="Regular",3,5)))</f>
        <v>46300</v>
      </c>
      <c r="J21" s="39" t="s">
        <v>3537</v>
      </c>
      <c r="K21" s="39"/>
    </row>
    <row r="22" customFormat="false" ht="19.5" hidden="false" customHeight="true" outlineLevel="0" collapsed="false">
      <c r="A22" s="47" t="n">
        <v>21</v>
      </c>
      <c r="B22" s="38" t="s">
        <v>1023</v>
      </c>
      <c r="C22" s="39" t="s">
        <v>2289</v>
      </c>
      <c r="D22" s="39" t="s">
        <v>73</v>
      </c>
      <c r="E22" s="39" t="s">
        <v>100</v>
      </c>
      <c r="F22" s="39" t="s">
        <v>1024</v>
      </c>
      <c r="G22" s="39" t="s">
        <v>3539</v>
      </c>
      <c r="H22" s="39" t="s">
        <v>3536</v>
      </c>
      <c r="I22" s="40" t="n">
        <f aca="false">WORKDAY(AsOfDate,IF(D22="VIP",2,IF(D22="Regular",3,5)))</f>
        <v>46302</v>
      </c>
      <c r="J22" s="39" t="s">
        <v>3537</v>
      </c>
      <c r="K22" s="39"/>
    </row>
    <row r="24" customFormat="false" ht="15" hidden="false" customHeight="false" outlineLevel="0" collapsed="false">
      <c r="B24" s="37" t="s">
        <v>3540</v>
      </c>
    </row>
  </sheetData>
  <conditionalFormatting sqref="A2:K22">
    <cfRule type="expression" priority="2" aboveAverage="0" equalAverage="0" bottom="0" percent="0" rank="0" text="" dxfId="13">
      <formula>$J2="Done"</formula>
    </cfRule>
  </conditionalFormatting>
  <conditionalFormatting sqref="J2:J22">
    <cfRule type="cellIs" priority="3" operator="equal" aboveAverage="0" equalAverage="0" bottom="0" percent="0" rank="0" text="" dxfId="8">
      <formula>"Open"</formula>
    </cfRule>
  </conditionalFormatting>
  <conditionalFormatting sqref="D2:D22">
    <cfRule type="cellIs" priority="4" operator="equal" aboveAverage="0" equalAverage="0" bottom="0" percent="0" rank="0" text="" dxfId="11">
      <formula>"VIP"</formula>
    </cfRule>
  </conditionalFormatting>
  <dataValidations count="2">
    <dataValidation allowBlank="true" errorStyle="stop" operator="between" showDropDown="false" showErrorMessage="false" showInputMessage="false" sqref="H2:H500" type="list">
      <formula1>OwnerList</formula1>
      <formula2>0</formula2>
    </dataValidation>
    <dataValidation allowBlank="true" errorStyle="stop" operator="between" showDropDown="false" showErrorMessage="false" showInputMessage="false" sqref="J2:J500" type="list">
      <formula1>StatusList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F8C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4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50" t="s">
        <v>3541</v>
      </c>
    </row>
    <row r="3" customFormat="false" ht="18" hidden="false" customHeight="true" outlineLevel="0" collapsed="false">
      <c r="B3" s="18" t="s">
        <v>3542</v>
      </c>
    </row>
    <row r="5" customFormat="false" ht="25.5" hidden="false" customHeight="true" outlineLevel="0" collapsed="false">
      <c r="B5" s="8" t="s">
        <v>60</v>
      </c>
      <c r="C5" s="8" t="s">
        <v>3543</v>
      </c>
      <c r="D5" s="8" t="s">
        <v>3544</v>
      </c>
      <c r="E5" s="8" t="s">
        <v>3545</v>
      </c>
      <c r="F5" s="8" t="s">
        <v>3546</v>
      </c>
    </row>
    <row r="6" customFormat="false" ht="33.75" hidden="false" customHeight="true" outlineLevel="0" collapsed="false">
      <c r="B6" s="51" t="s">
        <v>63</v>
      </c>
      <c r="C6" s="52" t="s">
        <v>3547</v>
      </c>
      <c r="D6" s="53" t="n">
        <v>0.978</v>
      </c>
      <c r="E6" s="54" t="n">
        <f aca="false">COUNTA('Customer Master'!B2:B207,'Customer Master'!D2:G207,'Customer Master'!I2:L207,'Customer Master'!N2:N207)/(COUNTA('Customer Master'!A2:A207)*10)</f>
        <v>0.989805825242718</v>
      </c>
      <c r="F6" s="55" t="n">
        <f aca="false">E6-D6</f>
        <v>0.0118058252427184</v>
      </c>
    </row>
    <row r="7" customFormat="false" ht="33.75" hidden="false" customHeight="true" outlineLevel="0" collapsed="false">
      <c r="B7" s="51" t="s">
        <v>64</v>
      </c>
      <c r="C7" s="52" t="s">
        <v>3548</v>
      </c>
      <c r="D7" s="53" t="n">
        <v>0.3427</v>
      </c>
      <c r="E7" s="54" t="n">
        <f aca="false">(COUNTIF('Customer Master'!Q2:Q207,"Valid")+COUNTIF('Customer Master'!R2:R207,"Valid")+COUNT('Customer Master'!I2:L207))/(COUNTA('Customer Master'!D2:E207)+COUNTA('Customer Master'!A2:A207)*4)</f>
        <v>1</v>
      </c>
      <c r="F7" s="55" t="n">
        <f aca="false">E7-D7</f>
        <v>0.6573</v>
      </c>
    </row>
    <row r="8" customFormat="false" ht="33.75" hidden="false" customHeight="true" outlineLevel="0" collapsed="false">
      <c r="B8" s="51" t="s">
        <v>65</v>
      </c>
      <c r="C8" s="52" t="s">
        <v>3549</v>
      </c>
      <c r="D8" s="53" t="n">
        <v>0.4142</v>
      </c>
      <c r="E8" s="54" t="n">
        <f aca="false">(SUMPRODUCT(COUNTIF(CityList,'Customer Master'!F2:F207))+SUMPRODUCT(COUNTIF(ProvinceList,'Customer Master'!G2:G207))+COUNTIF('Customer Master'!N2:N207,"Yes")+COUNTIF('Customer Master'!N2:N207,"No"))/(COUNTA('Customer Master'!F2:G207)+COUNTA('Customer Master'!N2:N207))</f>
        <v>1</v>
      </c>
      <c r="F8" s="55" t="n">
        <f aca="false">E8-D8</f>
        <v>0.5858</v>
      </c>
    </row>
    <row r="9" customFormat="false" ht="33.75" hidden="false" customHeight="true" outlineLevel="0" collapsed="false">
      <c r="B9" s="51" t="s">
        <v>66</v>
      </c>
      <c r="C9" s="52" t="s">
        <v>3550</v>
      </c>
      <c r="D9" s="53" t="n">
        <v>0.7687</v>
      </c>
      <c r="E9" s="54" t="n">
        <f aca="false">1-(COUNTIF('Customer Master'!Q2:Q207,"Duplicate")+COUNTIF('Customer Master'!R2:R207,"Duplicate"))/COUNTA('Customer Master'!A2:A207)</f>
        <v>1</v>
      </c>
      <c r="F9" s="55" t="n">
        <f aca="false">E9-D9</f>
        <v>0.2313</v>
      </c>
    </row>
    <row r="10" customFormat="false" ht="25.5" hidden="false" customHeight="true" outlineLevel="0" collapsed="false">
      <c r="B10" s="56" t="s">
        <v>3551</v>
      </c>
      <c r="C10" s="57" t="s">
        <v>3552</v>
      </c>
      <c r="D10" s="58" t="n">
        <f aca="false">AVERAGE(D6:D9)</f>
        <v>0.6259</v>
      </c>
      <c r="E10" s="58" t="n">
        <f aca="false">AVERAGE(E6:E9)</f>
        <v>0.99745145631068</v>
      </c>
      <c r="F10" s="59" t="n">
        <f aca="false">E10-D10</f>
        <v>0.37155145631068</v>
      </c>
    </row>
    <row r="11" customFormat="false" ht="15" hidden="false" customHeight="false" outlineLevel="0" collapsed="false">
      <c r="B11" s="37" t="s">
        <v>3553</v>
      </c>
    </row>
    <row r="13" customFormat="false" ht="16.15" hidden="false" customHeight="false" outlineLevel="0" collapsed="false">
      <c r="B13" s="7" t="s">
        <v>3554</v>
      </c>
    </row>
    <row r="14" customFormat="false" ht="25.5" hidden="false" customHeight="true" outlineLevel="0" collapsed="false">
      <c r="B14" s="8" t="s">
        <v>2836</v>
      </c>
      <c r="C14" s="8" t="s">
        <v>3555</v>
      </c>
      <c r="D14" s="8" t="s">
        <v>3556</v>
      </c>
      <c r="E14" s="8" t="s">
        <v>3557</v>
      </c>
    </row>
    <row r="15" customFormat="false" ht="19.5" hidden="false" customHeight="true" outlineLevel="0" collapsed="false">
      <c r="B15" s="51" t="s">
        <v>2845</v>
      </c>
      <c r="C15" s="60" t="s">
        <v>3558</v>
      </c>
      <c r="D15" s="61" t="n">
        <f aca="false">COUNTIF('Change Log'!D:D,B15)</f>
        <v>245</v>
      </c>
      <c r="E15" s="62" t="n">
        <f aca="false">D15/$D$25</f>
        <v>0.147946859903382</v>
      </c>
    </row>
    <row r="16" customFormat="false" ht="19.5" hidden="false" customHeight="true" outlineLevel="0" collapsed="false">
      <c r="B16" s="51" t="s">
        <v>2848</v>
      </c>
      <c r="C16" s="60" t="s">
        <v>3558</v>
      </c>
      <c r="D16" s="61" t="n">
        <f aca="false">COUNTIF('Change Log'!D:D,B16)</f>
        <v>239</v>
      </c>
      <c r="E16" s="62" t="n">
        <f aca="false">D16/$D$25</f>
        <v>0.144323671497585</v>
      </c>
    </row>
    <row r="17" customFormat="false" ht="19.5" hidden="false" customHeight="true" outlineLevel="0" collapsed="false">
      <c r="B17" s="51" t="s">
        <v>109</v>
      </c>
      <c r="C17" s="60" t="s">
        <v>3559</v>
      </c>
      <c r="D17" s="61" t="n">
        <f aca="false">COUNTIF('Change Log'!D:D,B17)</f>
        <v>239</v>
      </c>
      <c r="E17" s="62" t="n">
        <f aca="false">D17/$D$25</f>
        <v>0.144323671497585</v>
      </c>
    </row>
    <row r="18" customFormat="false" ht="19.5" hidden="false" customHeight="true" outlineLevel="0" collapsed="false">
      <c r="B18" s="51" t="s">
        <v>2850</v>
      </c>
      <c r="C18" s="60" t="s">
        <v>3560</v>
      </c>
      <c r="D18" s="61" t="n">
        <f aca="false">COUNTIF('Change Log'!D:D,B18)</f>
        <v>233</v>
      </c>
      <c r="E18" s="62" t="n">
        <f aca="false">D18/$D$25</f>
        <v>0.140700483091787</v>
      </c>
    </row>
    <row r="19" customFormat="false" ht="19.5" hidden="false" customHeight="true" outlineLevel="0" collapsed="false">
      <c r="B19" s="51" t="s">
        <v>101</v>
      </c>
      <c r="C19" s="60" t="s">
        <v>3561</v>
      </c>
      <c r="D19" s="61" t="n">
        <f aca="false">COUNTIF('Change Log'!D:D,B19)</f>
        <v>229</v>
      </c>
      <c r="E19" s="62" t="n">
        <f aca="false">D19/$D$25</f>
        <v>0.138285024154589</v>
      </c>
    </row>
    <row r="20" customFormat="false" ht="19.5" hidden="false" customHeight="true" outlineLevel="0" collapsed="false">
      <c r="B20" s="51" t="s">
        <v>102</v>
      </c>
      <c r="C20" s="60" t="s">
        <v>3562</v>
      </c>
      <c r="D20" s="61" t="n">
        <f aca="false">COUNTIF('Change Log'!D:D,B20)</f>
        <v>155</v>
      </c>
      <c r="E20" s="62" t="n">
        <f aca="false">D20/$D$25</f>
        <v>0.0935990338164251</v>
      </c>
    </row>
    <row r="21" customFormat="false" ht="19.5" hidden="false" customHeight="true" outlineLevel="0" collapsed="false">
      <c r="B21" s="51" t="s">
        <v>77</v>
      </c>
      <c r="C21" s="60" t="s">
        <v>3563</v>
      </c>
      <c r="D21" s="61" t="n">
        <f aca="false">COUNTIF('Change Log'!D:D,B21)</f>
        <v>128</v>
      </c>
      <c r="E21" s="62" t="n">
        <f aca="false">D21/$D$25</f>
        <v>0.0772946859903382</v>
      </c>
    </row>
    <row r="22" customFormat="false" ht="19.5" hidden="false" customHeight="true" outlineLevel="0" collapsed="false">
      <c r="B22" s="51" t="s">
        <v>2840</v>
      </c>
      <c r="C22" s="60" t="s">
        <v>3564</v>
      </c>
      <c r="D22" s="61" t="n">
        <f aca="false">COUNTIF('Change Log'!D:D,B22)</f>
        <v>95</v>
      </c>
      <c r="E22" s="62" t="n">
        <f aca="false">D22/$D$25</f>
        <v>0.0573671497584541</v>
      </c>
    </row>
    <row r="23" customFormat="false" ht="19.5" hidden="false" customHeight="true" outlineLevel="0" collapsed="false">
      <c r="B23" s="51" t="s">
        <v>100</v>
      </c>
      <c r="C23" s="60" t="s">
        <v>3565</v>
      </c>
      <c r="D23" s="61" t="n">
        <f aca="false">COUNTIF('Change Log'!D:D,B23)</f>
        <v>70</v>
      </c>
      <c r="E23" s="62" t="n">
        <f aca="false">D23/$D$25</f>
        <v>0.0422705314009662</v>
      </c>
    </row>
    <row r="24" customFormat="false" ht="19.5" hidden="false" customHeight="true" outlineLevel="0" collapsed="false">
      <c r="B24" s="51" t="s">
        <v>106</v>
      </c>
      <c r="C24" s="60" t="s">
        <v>3566</v>
      </c>
      <c r="D24" s="61" t="n">
        <f aca="false">COUNTIF('Change Log'!D:D,B24)</f>
        <v>23</v>
      </c>
      <c r="E24" s="62" t="n">
        <f aca="false">D24/$D$25</f>
        <v>0.0138888888888889</v>
      </c>
    </row>
    <row r="25" customFormat="false" ht="21.75" hidden="false" customHeight="true" outlineLevel="0" collapsed="false">
      <c r="B25" s="63" t="s">
        <v>3567</v>
      </c>
      <c r="C25" s="64"/>
      <c r="D25" s="65" t="n">
        <f aca="false">SUM(D15:D24)</f>
        <v>1656</v>
      </c>
      <c r="E25" s="64"/>
    </row>
  </sheetData>
  <conditionalFormatting sqref="E15:E24">
    <cfRule type="dataBar" priority="2">
      <dataBar showValue="1" minLength="10" maxLength="90">
        <cfvo type="num" val="0"/>
        <cfvo type="num" val="0.2"/>
        <color rgb="FF5B8CE6"/>
      </dataBar>
      <extLst>
        <ext xmlns:x14="http://schemas.microsoft.com/office/spreadsheetml/2009/9/main" uri="{B025F937-C7B1-47D3-B67F-A62EFF666E3E}">
          <x14:id>{203B5099-A1D5-4CB5-8112-36BC8EE69656}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3B5099-A1D5-4CB5-8112-36BC8EE69656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5B8CE6"/>
              <x14:axisColor rgb="FF000000"/>
            </x14:dataBar>
          </x14:cfRule>
          <xm:sqref>E15:E24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6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50" t="s">
        <v>25</v>
      </c>
    </row>
    <row r="3" customFormat="false" ht="18" hidden="false" customHeight="true" outlineLevel="0" collapsed="false">
      <c r="B3" s="18" t="s">
        <v>3568</v>
      </c>
    </row>
    <row r="5" customFormat="false" ht="25.5" hidden="false" customHeight="true" outlineLevel="0" collapsed="false">
      <c r="B5" s="8" t="s">
        <v>3569</v>
      </c>
      <c r="C5" s="8" t="s">
        <v>3570</v>
      </c>
      <c r="D5" s="8" t="s">
        <v>3571</v>
      </c>
      <c r="E5" s="8" t="s">
        <v>3572</v>
      </c>
      <c r="F5" s="8" t="s">
        <v>3573</v>
      </c>
    </row>
    <row r="6" customFormat="false" ht="30" hidden="false" customHeight="true" outlineLevel="0" collapsed="false">
      <c r="B6" s="66" t="s">
        <v>97</v>
      </c>
      <c r="C6" s="52" t="s">
        <v>3574</v>
      </c>
      <c r="D6" s="52" t="s">
        <v>151</v>
      </c>
      <c r="E6" s="52" t="s">
        <v>3575</v>
      </c>
      <c r="F6" s="52" t="s">
        <v>115</v>
      </c>
    </row>
    <row r="7" customFormat="false" ht="30" hidden="false" customHeight="true" outlineLevel="0" collapsed="false">
      <c r="B7" s="66" t="s">
        <v>3576</v>
      </c>
      <c r="C7" s="52" t="s">
        <v>3574</v>
      </c>
      <c r="D7" s="52" t="s">
        <v>151</v>
      </c>
      <c r="E7" s="52" t="s">
        <v>3577</v>
      </c>
      <c r="F7" s="52" t="s">
        <v>3578</v>
      </c>
    </row>
    <row r="8" customFormat="false" ht="30" hidden="false" customHeight="true" outlineLevel="0" collapsed="false">
      <c r="B8" s="66" t="s">
        <v>100</v>
      </c>
      <c r="C8" s="52" t="s">
        <v>3574</v>
      </c>
      <c r="D8" s="52" t="s">
        <v>151</v>
      </c>
      <c r="E8" s="52" t="s">
        <v>3579</v>
      </c>
      <c r="F8" s="52" t="s">
        <v>3580</v>
      </c>
    </row>
    <row r="9" customFormat="false" ht="30" hidden="false" customHeight="true" outlineLevel="0" collapsed="false">
      <c r="B9" s="66" t="s">
        <v>101</v>
      </c>
      <c r="C9" s="52" t="s">
        <v>3574</v>
      </c>
      <c r="D9" s="52" t="s">
        <v>151</v>
      </c>
      <c r="E9" s="52" t="s">
        <v>3581</v>
      </c>
      <c r="F9" s="52" t="s">
        <v>3582</v>
      </c>
    </row>
    <row r="10" customFormat="false" ht="30" hidden="false" customHeight="true" outlineLevel="0" collapsed="false">
      <c r="B10" s="66" t="s">
        <v>102</v>
      </c>
      <c r="C10" s="52" t="s">
        <v>3583</v>
      </c>
      <c r="D10" s="52" t="s">
        <v>151</v>
      </c>
      <c r="E10" s="52" t="s">
        <v>3584</v>
      </c>
      <c r="F10" s="52" t="s">
        <v>128</v>
      </c>
    </row>
    <row r="11" customFormat="false" ht="30" hidden="false" customHeight="true" outlineLevel="0" collapsed="false">
      <c r="B11" s="66" t="s">
        <v>77</v>
      </c>
      <c r="C11" s="52" t="s">
        <v>3583</v>
      </c>
      <c r="D11" s="52" t="s">
        <v>151</v>
      </c>
      <c r="E11" s="52" t="s">
        <v>3585</v>
      </c>
      <c r="F11" s="52" t="s">
        <v>79</v>
      </c>
    </row>
    <row r="12" customFormat="false" ht="30" hidden="false" customHeight="true" outlineLevel="0" collapsed="false">
      <c r="B12" s="66" t="s">
        <v>103</v>
      </c>
      <c r="C12" s="52" t="s">
        <v>3574</v>
      </c>
      <c r="D12" s="52" t="s">
        <v>151</v>
      </c>
      <c r="E12" s="52" t="s">
        <v>3586</v>
      </c>
      <c r="F12" s="52" t="s">
        <v>182</v>
      </c>
    </row>
    <row r="13" customFormat="false" ht="30" hidden="false" customHeight="true" outlineLevel="0" collapsed="false">
      <c r="B13" s="66" t="s">
        <v>3587</v>
      </c>
      <c r="C13" s="52" t="s">
        <v>3588</v>
      </c>
      <c r="D13" s="52" t="s">
        <v>151</v>
      </c>
      <c r="E13" s="52" t="s">
        <v>3589</v>
      </c>
      <c r="F13" s="52" t="s">
        <v>2054</v>
      </c>
    </row>
    <row r="14" customFormat="false" ht="30" hidden="false" customHeight="true" outlineLevel="0" collapsed="false">
      <c r="B14" s="66" t="s">
        <v>106</v>
      </c>
      <c r="C14" s="52" t="s">
        <v>3590</v>
      </c>
      <c r="D14" s="52" t="s">
        <v>151</v>
      </c>
      <c r="E14" s="52" t="s">
        <v>3591</v>
      </c>
      <c r="F14" s="52" t="s">
        <v>1280</v>
      </c>
    </row>
    <row r="15" customFormat="false" ht="30" hidden="false" customHeight="true" outlineLevel="0" collapsed="false">
      <c r="B15" s="66" t="s">
        <v>107</v>
      </c>
      <c r="C15" s="52" t="s">
        <v>3592</v>
      </c>
      <c r="D15" s="52" t="s">
        <v>151</v>
      </c>
      <c r="E15" s="52" t="s">
        <v>3593</v>
      </c>
      <c r="F15" s="52" t="s">
        <v>3594</v>
      </c>
    </row>
    <row r="16" customFormat="false" ht="30" hidden="false" customHeight="true" outlineLevel="0" collapsed="false">
      <c r="B16" s="66" t="s">
        <v>108</v>
      </c>
      <c r="C16" s="52" t="s">
        <v>3595</v>
      </c>
      <c r="D16" s="52" t="s">
        <v>3596</v>
      </c>
      <c r="E16" s="52" t="s">
        <v>3597</v>
      </c>
      <c r="F16" s="52" t="s">
        <v>3598</v>
      </c>
    </row>
    <row r="17" customFormat="false" ht="30" hidden="false" customHeight="true" outlineLevel="0" collapsed="false">
      <c r="B17" s="66" t="s">
        <v>109</v>
      </c>
      <c r="C17" s="52" t="s">
        <v>3583</v>
      </c>
      <c r="D17" s="52" t="s">
        <v>151</v>
      </c>
      <c r="E17" s="52" t="s">
        <v>3599</v>
      </c>
      <c r="F17" s="52" t="s">
        <v>151</v>
      </c>
    </row>
    <row r="18" customFormat="false" ht="30" hidden="false" customHeight="true" outlineLevel="0" collapsed="false">
      <c r="B18" s="66" t="s">
        <v>110</v>
      </c>
      <c r="C18" s="52" t="s">
        <v>3595</v>
      </c>
      <c r="D18" s="52" t="s">
        <v>3596</v>
      </c>
      <c r="E18" s="52" t="s">
        <v>3600</v>
      </c>
      <c r="F18" s="52" t="s">
        <v>3601</v>
      </c>
    </row>
    <row r="19" customFormat="false" ht="57.75" hidden="false" customHeight="true" outlineLevel="0" collapsed="false">
      <c r="B19" s="66" t="s">
        <v>68</v>
      </c>
      <c r="C19" s="52" t="s">
        <v>3595</v>
      </c>
      <c r="D19" s="52" t="s">
        <v>3596</v>
      </c>
      <c r="E19" s="52" t="s">
        <v>3602</v>
      </c>
      <c r="F19" s="52" t="s">
        <v>71</v>
      </c>
    </row>
    <row r="20" customFormat="false" ht="30" hidden="false" customHeight="true" outlineLevel="0" collapsed="false">
      <c r="B20" s="66" t="s">
        <v>3603</v>
      </c>
      <c r="C20" s="52" t="s">
        <v>3595</v>
      </c>
      <c r="D20" s="52" t="s">
        <v>3596</v>
      </c>
      <c r="E20" s="52" t="s">
        <v>3604</v>
      </c>
      <c r="F20" s="52" t="s">
        <v>3605</v>
      </c>
    </row>
    <row r="21" customFormat="false" ht="57.75" hidden="false" customHeight="true" outlineLevel="0" collapsed="false">
      <c r="B21" s="66" t="s">
        <v>113</v>
      </c>
      <c r="C21" s="52" t="s">
        <v>3595</v>
      </c>
      <c r="D21" s="52" t="s">
        <v>3596</v>
      </c>
      <c r="E21" s="52" t="s">
        <v>3606</v>
      </c>
      <c r="F21" s="52" t="s">
        <v>3607</v>
      </c>
    </row>
    <row r="22" customFormat="false" ht="30" hidden="false" customHeight="true" outlineLevel="0" collapsed="false">
      <c r="B22" s="66" t="s">
        <v>114</v>
      </c>
      <c r="C22" s="52" t="s">
        <v>3574</v>
      </c>
      <c r="D22" s="52" t="s">
        <v>3596</v>
      </c>
      <c r="E22" s="52" t="s">
        <v>3608</v>
      </c>
      <c r="F22" s="52" t="s">
        <v>3609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B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8"/>
    <col collapsed="false" customWidth="true" hidden="false" outlineLevel="0" max="11" min="11" style="0" width="30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50" t="s">
        <v>27</v>
      </c>
    </row>
    <row r="3" customFormat="false" ht="18" hidden="false" customHeight="true" outlineLevel="0" collapsed="false">
      <c r="B3" s="18" t="s">
        <v>3610</v>
      </c>
    </row>
    <row r="5" customFormat="false" ht="24" hidden="false" customHeight="true" outlineLevel="0" collapsed="false">
      <c r="B5" s="67" t="s">
        <v>102</v>
      </c>
      <c r="C5" s="67" t="s">
        <v>77</v>
      </c>
      <c r="D5" s="67" t="s">
        <v>109</v>
      </c>
      <c r="E5" s="67" t="s">
        <v>3611</v>
      </c>
      <c r="F5" s="67" t="s">
        <v>3531</v>
      </c>
      <c r="G5" s="67" t="s">
        <v>68</v>
      </c>
      <c r="H5" s="67" t="s">
        <v>87</v>
      </c>
      <c r="J5" s="68" t="s">
        <v>3612</v>
      </c>
    </row>
    <row r="6" customFormat="false" ht="15" hidden="false" customHeight="false" outlineLevel="0" collapsed="false">
      <c r="B6" s="39" t="s">
        <v>217</v>
      </c>
      <c r="C6" s="39" t="s">
        <v>80</v>
      </c>
      <c r="D6" s="39" t="s">
        <v>151</v>
      </c>
      <c r="E6" s="39" t="s">
        <v>3537</v>
      </c>
      <c r="F6" s="39" t="s">
        <v>3536</v>
      </c>
      <c r="G6" s="39" t="s">
        <v>71</v>
      </c>
      <c r="H6" s="39" t="s">
        <v>129</v>
      </c>
      <c r="J6" s="69" t="s">
        <v>129</v>
      </c>
      <c r="K6" s="70" t="s">
        <v>3613</v>
      </c>
    </row>
    <row r="7" customFormat="false" ht="15" hidden="false" customHeight="false" outlineLevel="0" collapsed="false">
      <c r="B7" s="39" t="s">
        <v>170</v>
      </c>
      <c r="C7" s="39" t="s">
        <v>82</v>
      </c>
      <c r="D7" s="39" t="s">
        <v>130</v>
      </c>
      <c r="E7" s="39" t="s">
        <v>3614</v>
      </c>
      <c r="F7" s="39" t="s">
        <v>3615</v>
      </c>
      <c r="G7" s="39" t="s">
        <v>72</v>
      </c>
      <c r="H7" s="39" t="s">
        <v>121</v>
      </c>
      <c r="J7" s="69" t="s">
        <v>121</v>
      </c>
      <c r="K7" s="70" t="s">
        <v>3616</v>
      </c>
    </row>
    <row r="8" customFormat="false" ht="15" hidden="false" customHeight="false" outlineLevel="0" collapsed="false">
      <c r="B8" s="39" t="s">
        <v>120</v>
      </c>
      <c r="C8" s="39" t="s">
        <v>79</v>
      </c>
      <c r="E8" s="39" t="s">
        <v>3617</v>
      </c>
      <c r="F8" s="39" t="s">
        <v>3531</v>
      </c>
      <c r="G8" s="39" t="s">
        <v>73</v>
      </c>
      <c r="H8" s="39" t="s">
        <v>164</v>
      </c>
      <c r="J8" s="69" t="s">
        <v>164</v>
      </c>
      <c r="K8" s="70" t="s">
        <v>3618</v>
      </c>
    </row>
    <row r="9" customFormat="false" ht="15" hidden="false" customHeight="false" outlineLevel="0" collapsed="false">
      <c r="B9" s="39" t="s">
        <v>239</v>
      </c>
      <c r="C9" s="39" t="s">
        <v>83</v>
      </c>
      <c r="G9" s="39" t="s">
        <v>74</v>
      </c>
    </row>
    <row r="10" customFormat="false" ht="15" hidden="false" customHeight="false" outlineLevel="0" collapsed="false">
      <c r="B10" s="39" t="s">
        <v>150</v>
      </c>
      <c r="C10" s="39" t="s">
        <v>84</v>
      </c>
      <c r="G10" s="39" t="s">
        <v>75</v>
      </c>
    </row>
    <row r="11" customFormat="false" ht="15" hidden="false" customHeight="false" outlineLevel="0" collapsed="false">
      <c r="B11" s="39" t="s">
        <v>295</v>
      </c>
      <c r="C11" s="39" t="s">
        <v>81</v>
      </c>
    </row>
    <row r="12" customFormat="false" ht="15" hidden="false" customHeight="false" outlineLevel="0" collapsed="false">
      <c r="B12" s="39" t="s">
        <v>128</v>
      </c>
    </row>
    <row r="13" customFormat="false" ht="15" hidden="false" customHeight="false" outlineLevel="0" collapsed="false">
      <c r="B13" s="39" t="s">
        <v>163</v>
      </c>
    </row>
    <row r="14" customFormat="false" ht="15" hidden="false" customHeight="false" outlineLevel="0" collapsed="false">
      <c r="B14" s="39" t="s">
        <v>257</v>
      </c>
    </row>
    <row r="15" customFormat="false" ht="15" hidden="false" customHeight="false" outlineLevel="0" collapsed="false">
      <c r="B15" s="39" t="s">
        <v>324</v>
      </c>
    </row>
    <row r="16" customFormat="false" ht="15" hidden="false" customHeight="false" outlineLevel="0" collapsed="false">
      <c r="B16" s="39" t="s">
        <v>137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2026-10-05T13:17:46Z</dcterms:created>
  <dc:creator>Mary Rose Obsuna</dc:creator>
  <dc:description/>
  <dc:language>en-US</dc:language>
  <cp:lastModifiedBy/>
  <dcterms:modified xsi:type="dcterms:W3CDTF">2026-10-05T21:17:51Z</dcterms:modified>
  <cp:revision>1</cp:revision>
  <dc:subject/>
  <dc:title>Customer Data Cleanup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